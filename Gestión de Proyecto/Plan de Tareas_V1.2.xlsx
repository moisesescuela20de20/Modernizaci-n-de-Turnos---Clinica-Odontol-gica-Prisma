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<sst xmlns="http://schemas.openxmlformats.org/spreadsheetml/2006/main" count="102" uniqueCount="63">
  <si>
    <t>Plan de Tareas</t>
  </si>
  <si>
    <t>TÍTULO DEL PROYECTO</t>
  </si>
  <si>
    <t>Clínica Odontológica Prisma</t>
  </si>
  <si>
    <t>RESPONSABLE DEL PROYECTO</t>
  </si>
  <si>
    <t>Moises Alexander Martinez Perez</t>
  </si>
  <si>
    <t>N° de Actividad</t>
  </si>
  <si>
    <t>Actividad</t>
  </si>
  <si>
    <t>Responsable</t>
  </si>
  <si>
    <t>Predecesor</t>
  </si>
  <si>
    <t>Fecha de Inicio</t>
  </si>
  <si>
    <t>Fecha de Fin</t>
  </si>
  <si>
    <t>Estado</t>
  </si>
  <si>
    <t>Duración</t>
  </si>
  <si>
    <t>Reunión Inicial</t>
  </si>
  <si>
    <t>Thiago Peretti</t>
  </si>
  <si>
    <t>Hecho</t>
  </si>
  <si>
    <t>Relevamiento de Requerimientos</t>
  </si>
  <si>
    <t>Emiliano Litter</t>
  </si>
  <si>
    <t>Definir Alcance</t>
  </si>
  <si>
    <t>Moises Martinez</t>
  </si>
  <si>
    <t>Identificar Funcionalidades Clave</t>
  </si>
  <si>
    <t>Detectar Restricciones Técnicas o de Negocio</t>
  </si>
  <si>
    <t>Crear Historias de Usuarios</t>
  </si>
  <si>
    <t>Justin Sanabria</t>
  </si>
  <si>
    <t>Definir Flujos de Usuarios</t>
  </si>
  <si>
    <t>Especificar Funcionalidades</t>
  </si>
  <si>
    <t>4 - 5</t>
  </si>
  <si>
    <t>Armar Sitemap del Sitio</t>
  </si>
  <si>
    <t>En Proceso</t>
  </si>
  <si>
    <t>Validación con el Cliente</t>
  </si>
  <si>
    <t>2 - 3</t>
  </si>
  <si>
    <t>Wireframe</t>
  </si>
  <si>
    <t>Mockup</t>
  </si>
  <si>
    <t>Diseño Responsive</t>
  </si>
  <si>
    <t>Iteraciones con el Feedback del Cliente</t>
  </si>
  <si>
    <t>10 - 13</t>
  </si>
  <si>
    <t>Aprobación Final del Diseño</t>
  </si>
  <si>
    <t>Definir Arquictectura</t>
  </si>
  <si>
    <t>8 - 15</t>
  </si>
  <si>
    <t>Configurar el Repositorio</t>
  </si>
  <si>
    <t>Definir Estructura del Proyecto</t>
  </si>
  <si>
    <t>16 - 17</t>
  </si>
  <si>
    <t>Dividir en Tareas Técnicas</t>
  </si>
  <si>
    <t>Setup del Proyecto</t>
  </si>
  <si>
    <t>Desarrollo Frontend</t>
  </si>
  <si>
    <t>15 - 20</t>
  </si>
  <si>
    <t>Desarrollo Backend</t>
  </si>
  <si>
    <t>16 - 20</t>
  </si>
  <si>
    <t>Integracón de APIs</t>
  </si>
  <si>
    <t>Autenticación y Seguridad</t>
  </si>
  <si>
    <t>Testing Funcional</t>
  </si>
  <si>
    <t>21 - 22 - 23</t>
  </si>
  <si>
    <t>Testing de UI</t>
  </si>
  <si>
    <t>21 -25</t>
  </si>
  <si>
    <t>Corrección de Bugs</t>
  </si>
  <si>
    <t>25 - 26</t>
  </si>
  <si>
    <t>Pruebas con el Cliente</t>
  </si>
  <si>
    <t>Deploy (Hosting)</t>
  </si>
  <si>
    <t>23 - 24 - 28</t>
  </si>
  <si>
    <t>Configuración de Dominio</t>
  </si>
  <si>
    <t>Configurar SSL</t>
  </si>
  <si>
    <t>Revisión Final con el Cliente</t>
  </si>
  <si>
    <t>28 - 31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</si>
</sst>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30.0"/>
      <color rgb="FF0B5394"/>
      <name val="Roboto"/>
    </font>
    <font>
      <color theme="1"/>
      <name val="Arial"/>
    </font>
    <font>
      <b/>
      <color rgb="FF666666"/>
      <name val="Roboto"/>
    </font>
    <font>
      <b/>
      <sz val="11.0"/>
      <color theme="1"/>
      <name val="Roboto"/>
    </font>
    <font/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4">
    <border/>
    <border>
      <bottom style="thick">
        <color rgb="FF0B5394"/>
      </bottom>
    </border>
    <border>
      <bottom style="thin">
        <color rgb="FFD9D9D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2" fillId="0" fontId="4" numFmtId="0" xfId="0" applyBorder="1" applyFont="1"/>
    <xf borderId="2" fillId="0" fontId="4" numFmtId="0" xfId="0" applyAlignment="1" applyBorder="1" applyFont="1">
      <alignment vertical="bottom"/>
    </xf>
    <xf borderId="2" fillId="2" fontId="5" numFmtId="0" xfId="0" applyAlignment="1" applyBorder="1" applyFont="1">
      <alignment vertical="bottom"/>
    </xf>
    <xf borderId="2" fillId="0" fontId="6" numFmtId="0" xfId="0" applyBorder="1" applyFont="1"/>
    <xf borderId="3" fillId="3" fontId="7" numFmtId="0" xfId="0" applyAlignment="1" applyBorder="1" applyFill="1" applyFont="1">
      <alignment horizontal="center" readingOrder="0" vertical="center"/>
    </xf>
    <xf borderId="3" fillId="0" fontId="8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3" fillId="0" fontId="10" numFmtId="164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9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  <i/>
      </font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0.13"/>
    <col customWidth="1" min="3" max="3" width="43.88"/>
    <col customWidth="1" min="4" max="9" width="18.88"/>
    <col customWidth="1" min="10" max="10" width="7.63"/>
  </cols>
  <sheetData>
    <row r="1" ht="45.0" customHeight="1">
      <c r="B1" s="1"/>
      <c r="C1" s="2" t="s">
        <v>0</v>
      </c>
      <c r="D1" s="1"/>
      <c r="E1" s="3"/>
      <c r="F1" s="3"/>
      <c r="G1" s="3"/>
      <c r="H1" s="4"/>
    </row>
    <row r="2" ht="22.5" customHeight="1">
      <c r="C2" s="3"/>
      <c r="D2" s="3"/>
      <c r="E2" s="3"/>
      <c r="F2" s="3"/>
      <c r="G2" s="3"/>
      <c r="H2" s="3"/>
    </row>
    <row r="3" ht="22.5" customHeight="1">
      <c r="B3" s="5"/>
      <c r="C3" s="6" t="s">
        <v>1</v>
      </c>
      <c r="D3" s="7" t="s">
        <v>2</v>
      </c>
      <c r="E3" s="8"/>
      <c r="F3" s="7"/>
      <c r="G3" s="7"/>
      <c r="H3" s="7"/>
    </row>
    <row r="4" ht="22.5" customHeight="1">
      <c r="B4" s="5"/>
      <c r="C4" s="6" t="s">
        <v>3</v>
      </c>
      <c r="D4" s="7" t="s">
        <v>4</v>
      </c>
      <c r="E4" s="8"/>
      <c r="F4" s="7"/>
      <c r="G4" s="7"/>
      <c r="H4" s="7"/>
    </row>
    <row r="5" ht="22.5" customHeight="1"/>
    <row r="6" ht="22.5" customHeight="1"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9" t="s">
        <v>11</v>
      </c>
      <c r="I6" s="9" t="s">
        <v>12</v>
      </c>
    </row>
    <row r="7" ht="18.75" customHeight="1">
      <c r="B7" s="10">
        <v>1.0</v>
      </c>
      <c r="C7" s="11" t="s">
        <v>13</v>
      </c>
      <c r="D7" s="12" t="s">
        <v>14</v>
      </c>
      <c r="E7" s="13">
        <v>0.0</v>
      </c>
      <c r="F7" s="14">
        <v>46122.0</v>
      </c>
      <c r="G7" s="14">
        <v>46122.0</v>
      </c>
      <c r="H7" s="15" t="s">
        <v>15</v>
      </c>
      <c r="I7" s="16">
        <f t="shared" ref="I7:I54" si="1">DAYS360(F7,G7)</f>
        <v>0</v>
      </c>
    </row>
    <row r="8" ht="18.75" customHeight="1">
      <c r="B8" s="10">
        <f t="shared" ref="B8:B54" si="2">IF(C8&lt;&gt;"", B7+1, "ERROR")</f>
        <v>2</v>
      </c>
      <c r="C8" s="11" t="s">
        <v>16</v>
      </c>
      <c r="D8" s="12" t="s">
        <v>17</v>
      </c>
      <c r="E8" s="13">
        <v>1.0</v>
      </c>
      <c r="F8" s="14">
        <v>46126.0</v>
      </c>
      <c r="G8" s="14">
        <v>46129.0</v>
      </c>
      <c r="H8" s="15" t="s">
        <v>15</v>
      </c>
      <c r="I8" s="16">
        <f t="shared" si="1"/>
        <v>3</v>
      </c>
    </row>
    <row r="9" ht="18.75" customHeight="1">
      <c r="B9" s="10">
        <f t="shared" si="2"/>
        <v>3</v>
      </c>
      <c r="C9" s="11" t="s">
        <v>18</v>
      </c>
      <c r="D9" s="12" t="s">
        <v>19</v>
      </c>
      <c r="E9" s="13">
        <v>2.0</v>
      </c>
      <c r="F9" s="14">
        <v>46126.0</v>
      </c>
      <c r="G9" s="14">
        <v>46129.0</v>
      </c>
      <c r="H9" s="15" t="s">
        <v>15</v>
      </c>
      <c r="I9" s="16">
        <f t="shared" si="1"/>
        <v>3</v>
      </c>
    </row>
    <row r="10" ht="18.75" customHeight="1">
      <c r="B10" s="10">
        <f t="shared" si="2"/>
        <v>4</v>
      </c>
      <c r="C10" s="11" t="s">
        <v>20</v>
      </c>
      <c r="D10" s="12" t="s">
        <v>17</v>
      </c>
      <c r="E10" s="13">
        <v>1.0</v>
      </c>
      <c r="F10" s="14">
        <v>46129.0</v>
      </c>
      <c r="G10" s="14">
        <v>46136.0</v>
      </c>
      <c r="H10" s="15" t="s">
        <v>15</v>
      </c>
      <c r="I10" s="16">
        <f t="shared" si="1"/>
        <v>7</v>
      </c>
    </row>
    <row r="11" ht="18.75" customHeight="1">
      <c r="B11" s="10">
        <f t="shared" si="2"/>
        <v>5</v>
      </c>
      <c r="C11" s="11" t="s">
        <v>21</v>
      </c>
      <c r="D11" s="12" t="s">
        <v>19</v>
      </c>
      <c r="E11" s="13">
        <v>3.0</v>
      </c>
      <c r="F11" s="14">
        <v>46129.0</v>
      </c>
      <c r="G11" s="14">
        <v>46136.0</v>
      </c>
      <c r="H11" s="15" t="s">
        <v>15</v>
      </c>
      <c r="I11" s="16">
        <f t="shared" si="1"/>
        <v>7</v>
      </c>
    </row>
    <row r="12" ht="18.75" customHeight="1">
      <c r="B12" s="10">
        <f t="shared" si="2"/>
        <v>6</v>
      </c>
      <c r="C12" s="11" t="s">
        <v>22</v>
      </c>
      <c r="D12" s="12" t="s">
        <v>23</v>
      </c>
      <c r="E12" s="13">
        <v>4.0</v>
      </c>
      <c r="F12" s="14"/>
      <c r="G12" s="14"/>
      <c r="H12" s="15"/>
      <c r="I12" s="16">
        <f t="shared" si="1"/>
        <v>0</v>
      </c>
    </row>
    <row r="13" ht="18.75" customHeight="1">
      <c r="B13" s="10">
        <f t="shared" si="2"/>
        <v>7</v>
      </c>
      <c r="C13" s="11" t="s">
        <v>24</v>
      </c>
      <c r="D13" s="12" t="s">
        <v>23</v>
      </c>
      <c r="E13" s="13">
        <v>4.0</v>
      </c>
      <c r="F13" s="14"/>
      <c r="G13" s="14"/>
      <c r="H13" s="15"/>
      <c r="I13" s="16">
        <f t="shared" si="1"/>
        <v>0</v>
      </c>
    </row>
    <row r="14" ht="18.75" customHeight="1">
      <c r="B14" s="10">
        <f t="shared" si="2"/>
        <v>8</v>
      </c>
      <c r="C14" s="11" t="s">
        <v>25</v>
      </c>
      <c r="D14" s="12" t="s">
        <v>19</v>
      </c>
      <c r="E14" s="13" t="s">
        <v>26</v>
      </c>
      <c r="F14" s="14">
        <v>46161.0</v>
      </c>
      <c r="G14" s="14">
        <v>46164.0</v>
      </c>
      <c r="H14" s="15" t="s">
        <v>15</v>
      </c>
      <c r="I14" s="16">
        <f t="shared" si="1"/>
        <v>3</v>
      </c>
    </row>
    <row r="15" ht="18.75" customHeight="1">
      <c r="B15" s="10">
        <f t="shared" si="2"/>
        <v>9</v>
      </c>
      <c r="C15" s="11" t="s">
        <v>27</v>
      </c>
      <c r="D15" s="12" t="s">
        <v>17</v>
      </c>
      <c r="E15" s="13">
        <v>3.0</v>
      </c>
      <c r="F15" s="14">
        <v>46178.0</v>
      </c>
      <c r="G15" s="14"/>
      <c r="H15" s="15" t="s">
        <v>28</v>
      </c>
      <c r="I15" s="16">
        <f t="shared" si="1"/>
        <v>-45515</v>
      </c>
    </row>
    <row r="16" ht="18.75" customHeight="1">
      <c r="B16" s="10">
        <f t="shared" si="2"/>
        <v>10</v>
      </c>
      <c r="C16" s="11" t="s">
        <v>29</v>
      </c>
      <c r="D16" s="12" t="s">
        <v>14</v>
      </c>
      <c r="E16" s="13" t="s">
        <v>30</v>
      </c>
      <c r="F16" s="14"/>
      <c r="G16" s="14"/>
      <c r="H16" s="17"/>
      <c r="I16" s="16">
        <f t="shared" si="1"/>
        <v>0</v>
      </c>
    </row>
    <row r="17" ht="18.75" customHeight="1">
      <c r="B17" s="10">
        <f t="shared" si="2"/>
        <v>11</v>
      </c>
      <c r="C17" s="11" t="s">
        <v>31</v>
      </c>
      <c r="D17" s="12" t="s">
        <v>23</v>
      </c>
      <c r="E17" s="13">
        <v>9.0</v>
      </c>
      <c r="F17" s="14">
        <v>46171.0</v>
      </c>
      <c r="G17" s="14">
        <v>46192.0</v>
      </c>
      <c r="H17" s="15" t="s">
        <v>28</v>
      </c>
      <c r="I17" s="16">
        <f t="shared" si="1"/>
        <v>20</v>
      </c>
    </row>
    <row r="18" ht="18.75" customHeight="1">
      <c r="B18" s="10">
        <f t="shared" si="2"/>
        <v>12</v>
      </c>
      <c r="C18" s="11" t="s">
        <v>32</v>
      </c>
      <c r="D18" s="12" t="s">
        <v>23</v>
      </c>
      <c r="E18" s="13">
        <v>11.0</v>
      </c>
      <c r="F18" s="14">
        <v>46171.0</v>
      </c>
      <c r="G18" s="14">
        <v>46192.0</v>
      </c>
      <c r="H18" s="15" t="s">
        <v>28</v>
      </c>
      <c r="I18" s="16">
        <f t="shared" si="1"/>
        <v>20</v>
      </c>
    </row>
    <row r="19" ht="18.75" customHeight="1">
      <c r="B19" s="10">
        <f t="shared" si="2"/>
        <v>13</v>
      </c>
      <c r="C19" s="11" t="s">
        <v>33</v>
      </c>
      <c r="D19" s="12" t="s">
        <v>23</v>
      </c>
      <c r="E19" s="13">
        <v>12.0</v>
      </c>
      <c r="F19" s="14">
        <v>46171.0</v>
      </c>
      <c r="G19" s="14">
        <v>46192.0</v>
      </c>
      <c r="H19" s="15" t="s">
        <v>28</v>
      </c>
      <c r="I19" s="16">
        <f t="shared" si="1"/>
        <v>20</v>
      </c>
    </row>
    <row r="20" ht="18.75" customHeight="1">
      <c r="B20" s="10">
        <f t="shared" si="2"/>
        <v>14</v>
      </c>
      <c r="C20" s="11" t="s">
        <v>34</v>
      </c>
      <c r="D20" s="12" t="s">
        <v>19</v>
      </c>
      <c r="E20" s="13" t="s">
        <v>35</v>
      </c>
      <c r="F20" s="14"/>
      <c r="G20" s="14"/>
      <c r="H20" s="17"/>
      <c r="I20" s="16">
        <f t="shared" si="1"/>
        <v>0</v>
      </c>
    </row>
    <row r="21" ht="18.75" customHeight="1">
      <c r="B21" s="10">
        <f t="shared" si="2"/>
        <v>15</v>
      </c>
      <c r="C21" s="11" t="s">
        <v>36</v>
      </c>
      <c r="D21" s="12" t="s">
        <v>14</v>
      </c>
      <c r="E21" s="13">
        <v>14.0</v>
      </c>
      <c r="F21" s="14"/>
      <c r="G21" s="14"/>
      <c r="H21" s="17"/>
      <c r="I21" s="16">
        <f t="shared" si="1"/>
        <v>0</v>
      </c>
    </row>
    <row r="22" ht="18.75" customHeight="1">
      <c r="B22" s="10">
        <f t="shared" si="2"/>
        <v>16</v>
      </c>
      <c r="C22" s="11" t="s">
        <v>37</v>
      </c>
      <c r="D22" s="12" t="s">
        <v>17</v>
      </c>
      <c r="E22" s="13" t="s">
        <v>38</v>
      </c>
      <c r="F22" s="14">
        <v>46171.0</v>
      </c>
      <c r="G22" s="14">
        <v>46178.0</v>
      </c>
      <c r="H22" s="15" t="s">
        <v>15</v>
      </c>
      <c r="I22" s="16">
        <f t="shared" si="1"/>
        <v>6</v>
      </c>
    </row>
    <row r="23" ht="18.75" customHeight="1">
      <c r="B23" s="10">
        <f t="shared" si="2"/>
        <v>17</v>
      </c>
      <c r="C23" s="11" t="s">
        <v>39</v>
      </c>
      <c r="D23" s="12" t="s">
        <v>17</v>
      </c>
      <c r="E23" s="13">
        <v>1.0</v>
      </c>
      <c r="F23" s="14">
        <v>46171.0</v>
      </c>
      <c r="G23" s="14">
        <v>46178.0</v>
      </c>
      <c r="H23" s="15" t="s">
        <v>15</v>
      </c>
      <c r="I23" s="16">
        <f t="shared" si="1"/>
        <v>6</v>
      </c>
    </row>
    <row r="24" ht="18.75" customHeight="1">
      <c r="B24" s="10">
        <f t="shared" si="2"/>
        <v>18</v>
      </c>
      <c r="C24" s="11" t="s">
        <v>40</v>
      </c>
      <c r="D24" s="12" t="s">
        <v>19</v>
      </c>
      <c r="E24" s="13" t="s">
        <v>41</v>
      </c>
      <c r="F24" s="14"/>
      <c r="G24" s="14"/>
      <c r="H24" s="17"/>
      <c r="I24" s="16">
        <f t="shared" si="1"/>
        <v>0</v>
      </c>
    </row>
    <row r="25" ht="18.75" customHeight="1">
      <c r="B25" s="10">
        <f t="shared" si="2"/>
        <v>19</v>
      </c>
      <c r="C25" s="11" t="s">
        <v>42</v>
      </c>
      <c r="D25" s="12" t="s">
        <v>19</v>
      </c>
      <c r="E25" s="13">
        <v>18.0</v>
      </c>
      <c r="F25" s="14"/>
      <c r="G25" s="14"/>
      <c r="H25" s="17"/>
      <c r="I25" s="16">
        <f t="shared" si="1"/>
        <v>0</v>
      </c>
    </row>
    <row r="26" ht="18.75" customHeight="1">
      <c r="B26" s="10">
        <f t="shared" si="2"/>
        <v>20</v>
      </c>
      <c r="C26" s="11" t="s">
        <v>43</v>
      </c>
      <c r="D26" s="12" t="s">
        <v>19</v>
      </c>
      <c r="E26" s="13">
        <v>19.0</v>
      </c>
      <c r="F26" s="14"/>
      <c r="G26" s="14"/>
      <c r="H26" s="17"/>
      <c r="I26" s="16">
        <f t="shared" si="1"/>
        <v>0</v>
      </c>
    </row>
    <row r="27" ht="18.75" customHeight="1">
      <c r="B27" s="10">
        <f t="shared" si="2"/>
        <v>21</v>
      </c>
      <c r="C27" s="11" t="s">
        <v>44</v>
      </c>
      <c r="D27" s="12" t="s">
        <v>23</v>
      </c>
      <c r="E27" s="13" t="s">
        <v>45</v>
      </c>
      <c r="F27" s="14">
        <v>46171.0</v>
      </c>
      <c r="G27" s="14">
        <v>46199.0</v>
      </c>
      <c r="H27" s="15" t="s">
        <v>28</v>
      </c>
      <c r="I27" s="16">
        <f t="shared" si="1"/>
        <v>27</v>
      </c>
    </row>
    <row r="28" ht="18.75" customHeight="1">
      <c r="B28" s="10">
        <f t="shared" si="2"/>
        <v>22</v>
      </c>
      <c r="C28" s="11" t="s">
        <v>46</v>
      </c>
      <c r="D28" s="12" t="s">
        <v>17</v>
      </c>
      <c r="E28" s="13" t="s">
        <v>47</v>
      </c>
      <c r="F28" s="14"/>
      <c r="G28" s="14"/>
      <c r="H28" s="17"/>
      <c r="I28" s="16">
        <f t="shared" si="1"/>
        <v>0</v>
      </c>
    </row>
    <row r="29" ht="18.75" customHeight="1">
      <c r="B29" s="10">
        <f t="shared" si="2"/>
        <v>23</v>
      </c>
      <c r="C29" s="11" t="s">
        <v>48</v>
      </c>
      <c r="D29" s="12" t="s">
        <v>17</v>
      </c>
      <c r="E29" s="13">
        <v>22.0</v>
      </c>
      <c r="F29" s="14"/>
      <c r="G29" s="14"/>
      <c r="H29" s="17"/>
      <c r="I29" s="16">
        <f t="shared" si="1"/>
        <v>0</v>
      </c>
    </row>
    <row r="30" ht="18.75" customHeight="1">
      <c r="B30" s="10">
        <f t="shared" si="2"/>
        <v>24</v>
      </c>
      <c r="C30" s="11" t="s">
        <v>49</v>
      </c>
      <c r="D30" s="12" t="s">
        <v>19</v>
      </c>
      <c r="E30" s="13">
        <v>22.0</v>
      </c>
      <c r="F30" s="14"/>
      <c r="G30" s="14"/>
      <c r="H30" s="17"/>
      <c r="I30" s="16">
        <f t="shared" si="1"/>
        <v>0</v>
      </c>
    </row>
    <row r="31" ht="18.75" customHeight="1">
      <c r="B31" s="10">
        <f t="shared" si="2"/>
        <v>25</v>
      </c>
      <c r="C31" s="11" t="s">
        <v>50</v>
      </c>
      <c r="D31" s="12" t="s">
        <v>23</v>
      </c>
      <c r="E31" s="13" t="s">
        <v>51</v>
      </c>
      <c r="F31" s="14"/>
      <c r="G31" s="14"/>
      <c r="H31" s="15"/>
      <c r="I31" s="16">
        <f t="shared" si="1"/>
        <v>0</v>
      </c>
    </row>
    <row r="32" ht="18.75" customHeight="1">
      <c r="B32" s="10">
        <f t="shared" si="2"/>
        <v>26</v>
      </c>
      <c r="C32" s="11" t="s">
        <v>52</v>
      </c>
      <c r="D32" s="12" t="s">
        <v>14</v>
      </c>
      <c r="E32" s="13" t="s">
        <v>53</v>
      </c>
      <c r="F32" s="14"/>
      <c r="G32" s="14"/>
      <c r="H32" s="15"/>
      <c r="I32" s="16">
        <f t="shared" si="1"/>
        <v>0</v>
      </c>
    </row>
    <row r="33" ht="18.75" customHeight="1">
      <c r="B33" s="10">
        <f t="shared" si="2"/>
        <v>27</v>
      </c>
      <c r="C33" s="11" t="s">
        <v>54</v>
      </c>
      <c r="D33" s="12" t="s">
        <v>23</v>
      </c>
      <c r="E33" s="13" t="s">
        <v>55</v>
      </c>
      <c r="F33" s="14"/>
      <c r="G33" s="14"/>
      <c r="H33" s="15"/>
      <c r="I33" s="16">
        <f t="shared" si="1"/>
        <v>0</v>
      </c>
    </row>
    <row r="34" ht="18.75" customHeight="1">
      <c r="B34" s="10">
        <f t="shared" si="2"/>
        <v>28</v>
      </c>
      <c r="C34" s="11" t="s">
        <v>56</v>
      </c>
      <c r="D34" s="12" t="s">
        <v>19</v>
      </c>
      <c r="E34" s="13">
        <v>27.0</v>
      </c>
      <c r="F34" s="14"/>
      <c r="G34" s="14"/>
      <c r="H34" s="15"/>
      <c r="I34" s="16">
        <f t="shared" si="1"/>
        <v>0</v>
      </c>
    </row>
    <row r="35" ht="18.75" customHeight="1">
      <c r="B35" s="10">
        <f t="shared" si="2"/>
        <v>29</v>
      </c>
      <c r="C35" s="11" t="s">
        <v>57</v>
      </c>
      <c r="D35" s="12" t="s">
        <v>17</v>
      </c>
      <c r="E35" s="13" t="s">
        <v>58</v>
      </c>
      <c r="F35" s="14"/>
      <c r="G35" s="14"/>
      <c r="H35" s="17"/>
      <c r="I35" s="16">
        <f t="shared" si="1"/>
        <v>0</v>
      </c>
    </row>
    <row r="36" ht="18.75" customHeight="1">
      <c r="B36" s="10">
        <f t="shared" si="2"/>
        <v>30</v>
      </c>
      <c r="C36" s="11" t="s">
        <v>59</v>
      </c>
      <c r="D36" s="12" t="s">
        <v>17</v>
      </c>
      <c r="E36" s="13">
        <v>29.0</v>
      </c>
      <c r="F36" s="14"/>
      <c r="G36" s="14"/>
      <c r="H36" s="17"/>
      <c r="I36" s="16">
        <f t="shared" si="1"/>
        <v>0</v>
      </c>
    </row>
    <row r="37" ht="18.75" customHeight="1">
      <c r="B37" s="10">
        <f t="shared" si="2"/>
        <v>31</v>
      </c>
      <c r="C37" s="11" t="s">
        <v>60</v>
      </c>
      <c r="D37" s="12" t="s">
        <v>17</v>
      </c>
      <c r="E37" s="13">
        <v>30.0</v>
      </c>
      <c r="F37" s="14"/>
      <c r="G37" s="14"/>
      <c r="H37" s="17"/>
      <c r="I37" s="16">
        <f t="shared" si="1"/>
        <v>0</v>
      </c>
    </row>
    <row r="38" ht="18.75" customHeight="1">
      <c r="B38" s="10">
        <f t="shared" si="2"/>
        <v>32</v>
      </c>
      <c r="C38" s="11" t="s">
        <v>61</v>
      </c>
      <c r="D38" s="12" t="s">
        <v>19</v>
      </c>
      <c r="E38" s="13" t="s">
        <v>62</v>
      </c>
      <c r="F38" s="14"/>
      <c r="G38" s="14"/>
      <c r="H38" s="17"/>
      <c r="I38" s="16">
        <f t="shared" si="1"/>
        <v>0</v>
      </c>
    </row>
    <row r="39" ht="18.75" customHeight="1">
      <c r="B39" s="10" t="str">
        <f t="shared" si="2"/>
        <v>ERROR</v>
      </c>
      <c r="C39" s="18"/>
      <c r="D39" s="19"/>
      <c r="E39" s="20"/>
      <c r="F39" s="14"/>
      <c r="G39" s="14"/>
      <c r="H39" s="17"/>
      <c r="I39" s="16">
        <f t="shared" si="1"/>
        <v>0</v>
      </c>
    </row>
    <row r="40" ht="18.75" customHeight="1">
      <c r="B40" s="10" t="str">
        <f t="shared" si="2"/>
        <v>ERROR</v>
      </c>
      <c r="C40" s="18"/>
      <c r="D40" s="19"/>
      <c r="E40" s="20"/>
      <c r="F40" s="14"/>
      <c r="G40" s="14"/>
      <c r="H40" s="17"/>
      <c r="I40" s="16">
        <f t="shared" si="1"/>
        <v>0</v>
      </c>
    </row>
    <row r="41" ht="18.75" customHeight="1">
      <c r="B41" s="10" t="str">
        <f t="shared" si="2"/>
        <v>ERROR</v>
      </c>
      <c r="C41" s="18"/>
      <c r="D41" s="19"/>
      <c r="E41" s="20"/>
      <c r="F41" s="14"/>
      <c r="G41" s="14"/>
      <c r="H41" s="17"/>
      <c r="I41" s="16">
        <f t="shared" si="1"/>
        <v>0</v>
      </c>
    </row>
    <row r="42" ht="18.75" customHeight="1">
      <c r="B42" s="10" t="str">
        <f t="shared" si="2"/>
        <v>ERROR</v>
      </c>
      <c r="C42" s="18"/>
      <c r="D42" s="19"/>
      <c r="E42" s="20"/>
      <c r="F42" s="14"/>
      <c r="G42" s="14"/>
      <c r="H42" s="17"/>
      <c r="I42" s="16">
        <f t="shared" si="1"/>
        <v>0</v>
      </c>
    </row>
    <row r="43" ht="18.75" customHeight="1">
      <c r="B43" s="10" t="str">
        <f t="shared" si="2"/>
        <v>ERROR</v>
      </c>
      <c r="C43" s="18"/>
      <c r="D43" s="19"/>
      <c r="E43" s="20"/>
      <c r="F43" s="14"/>
      <c r="G43" s="14"/>
      <c r="H43" s="17"/>
      <c r="I43" s="16">
        <f t="shared" si="1"/>
        <v>0</v>
      </c>
    </row>
    <row r="44" ht="18.75" customHeight="1">
      <c r="B44" s="10" t="str">
        <f t="shared" si="2"/>
        <v>ERROR</v>
      </c>
      <c r="C44" s="18"/>
      <c r="D44" s="19"/>
      <c r="E44" s="20"/>
      <c r="F44" s="14"/>
      <c r="G44" s="14"/>
      <c r="H44" s="17"/>
      <c r="I44" s="16">
        <f t="shared" si="1"/>
        <v>0</v>
      </c>
    </row>
    <row r="45" ht="18.75" customHeight="1">
      <c r="B45" s="10" t="str">
        <f t="shared" si="2"/>
        <v>ERROR</v>
      </c>
      <c r="C45" s="18"/>
      <c r="D45" s="19"/>
      <c r="E45" s="20"/>
      <c r="F45" s="14"/>
      <c r="G45" s="14"/>
      <c r="H45" s="17"/>
      <c r="I45" s="16">
        <f t="shared" si="1"/>
        <v>0</v>
      </c>
    </row>
    <row r="46" ht="18.75" customHeight="1">
      <c r="B46" s="10" t="str">
        <f t="shared" si="2"/>
        <v>ERROR</v>
      </c>
      <c r="C46" s="18"/>
      <c r="D46" s="19"/>
      <c r="E46" s="20"/>
      <c r="F46" s="14"/>
      <c r="G46" s="14"/>
      <c r="H46" s="17"/>
      <c r="I46" s="16">
        <f t="shared" si="1"/>
        <v>0</v>
      </c>
    </row>
    <row r="47" ht="18.75" customHeight="1">
      <c r="B47" s="10" t="str">
        <f t="shared" si="2"/>
        <v>ERROR</v>
      </c>
      <c r="C47" s="18"/>
      <c r="D47" s="19"/>
      <c r="E47" s="20"/>
      <c r="F47" s="14"/>
      <c r="G47" s="14"/>
      <c r="H47" s="17"/>
      <c r="I47" s="16">
        <f t="shared" si="1"/>
        <v>0</v>
      </c>
    </row>
    <row r="48" ht="18.75" customHeight="1">
      <c r="B48" s="10" t="str">
        <f t="shared" si="2"/>
        <v>ERROR</v>
      </c>
      <c r="C48" s="18"/>
      <c r="D48" s="19"/>
      <c r="E48" s="20"/>
      <c r="F48" s="14"/>
      <c r="G48" s="14"/>
      <c r="H48" s="17"/>
      <c r="I48" s="16">
        <f t="shared" si="1"/>
        <v>0</v>
      </c>
    </row>
    <row r="49" ht="18.75" customHeight="1">
      <c r="B49" s="10" t="str">
        <f t="shared" si="2"/>
        <v>ERROR</v>
      </c>
      <c r="C49" s="18"/>
      <c r="D49" s="19"/>
      <c r="E49" s="20"/>
      <c r="F49" s="14"/>
      <c r="G49" s="14"/>
      <c r="H49" s="17"/>
      <c r="I49" s="16">
        <f t="shared" si="1"/>
        <v>0</v>
      </c>
    </row>
    <row r="50" ht="18.75" customHeight="1">
      <c r="B50" s="10" t="str">
        <f t="shared" si="2"/>
        <v>ERROR</v>
      </c>
      <c r="C50" s="18"/>
      <c r="D50" s="19"/>
      <c r="E50" s="20"/>
      <c r="F50" s="14"/>
      <c r="G50" s="14"/>
      <c r="H50" s="17"/>
      <c r="I50" s="16">
        <f t="shared" si="1"/>
        <v>0</v>
      </c>
    </row>
    <row r="51" ht="18.75" customHeight="1">
      <c r="B51" s="10" t="str">
        <f t="shared" si="2"/>
        <v>ERROR</v>
      </c>
      <c r="C51" s="18"/>
      <c r="D51" s="19"/>
      <c r="E51" s="20"/>
      <c r="F51" s="14"/>
      <c r="G51" s="14"/>
      <c r="H51" s="17"/>
      <c r="I51" s="16">
        <f t="shared" si="1"/>
        <v>0</v>
      </c>
    </row>
    <row r="52" ht="18.75" customHeight="1">
      <c r="B52" s="10" t="str">
        <f t="shared" si="2"/>
        <v>ERROR</v>
      </c>
      <c r="C52" s="18"/>
      <c r="D52" s="19"/>
      <c r="E52" s="20"/>
      <c r="F52" s="14"/>
      <c r="G52" s="14"/>
      <c r="H52" s="17"/>
      <c r="I52" s="16">
        <f t="shared" si="1"/>
        <v>0</v>
      </c>
    </row>
    <row r="53" ht="18.75" customHeight="1">
      <c r="B53" s="10" t="str">
        <f t="shared" si="2"/>
        <v>ERROR</v>
      </c>
      <c r="C53" s="18"/>
      <c r="D53" s="19"/>
      <c r="E53" s="20"/>
      <c r="F53" s="14"/>
      <c r="G53" s="14"/>
      <c r="H53" s="17"/>
      <c r="I53" s="16">
        <f t="shared" si="1"/>
        <v>0</v>
      </c>
    </row>
    <row r="54" ht="18.75" customHeight="1">
      <c r="B54" s="10" t="str">
        <f t="shared" si="2"/>
        <v>ERROR</v>
      </c>
      <c r="C54" s="18"/>
      <c r="D54" s="19"/>
      <c r="E54" s="20"/>
      <c r="F54" s="14"/>
      <c r="G54" s="14"/>
      <c r="H54" s="17"/>
      <c r="I54" s="16">
        <f t="shared" si="1"/>
        <v>0</v>
      </c>
    </row>
    <row r="55" ht="18.75" customHeight="1"/>
  </sheetData>
  <mergeCells count="2">
    <mergeCell ref="D3:E3"/>
    <mergeCell ref="D4:E4"/>
  </mergeCells>
  <conditionalFormatting sqref="I7:I54">
    <cfRule type="cellIs" dxfId="0" priority="1" operator="greaterThan">
      <formula>7</formula>
    </cfRule>
  </conditionalFormatting>
  <conditionalFormatting sqref="I7:I54">
    <cfRule type="cellIs" dxfId="1" priority="2" operator="lessThanOrEqual">
      <formula>3</formula>
    </cfRule>
  </conditionalFormatting>
  <conditionalFormatting sqref="I7:I54">
    <cfRule type="cellIs" dxfId="2" priority="3" operator="greaterThanOrEqual">
      <formula>4</formula>
    </cfRule>
  </conditionalFormatting>
  <conditionalFormatting sqref="B7:H54">
    <cfRule type="expression" dxfId="3" priority="4">
      <formula>$H7="Por Hacer"</formula>
    </cfRule>
  </conditionalFormatting>
  <conditionalFormatting sqref="B7:H54">
    <cfRule type="expression" dxfId="4" priority="5">
      <formula>$H7="En Proceso"</formula>
    </cfRule>
  </conditionalFormatting>
  <conditionalFormatting sqref="B7:H54">
    <cfRule type="expression" dxfId="5" priority="6">
      <formula>$H7="Hecho"</formula>
    </cfRule>
  </conditionalFormatting>
  <conditionalFormatting sqref="B7:H54">
    <cfRule type="expression" dxfId="6" priority="7">
      <formula>$H7="Aprobado"</formula>
    </cfRule>
  </conditionalFormatting>
  <dataValidations>
    <dataValidation type="list" allowBlank="1" showErrorMessage="1" sqref="D7:D54">
      <formula1>"Emiliano Litter,Moises Martinez,Thiago Peretti,Justin Sanabria,TODOS"</formula1>
    </dataValidation>
    <dataValidation type="list" allowBlank="1" showErrorMessage="1" sqref="H7:H54">
      <formula1>"Por Hacer,En Proceso,Hecho,Aprobado"</formula1>
    </dataValidation>
  </dataValidations>
  <drawing r:id="rId1"/>
</worksheet>
</file>