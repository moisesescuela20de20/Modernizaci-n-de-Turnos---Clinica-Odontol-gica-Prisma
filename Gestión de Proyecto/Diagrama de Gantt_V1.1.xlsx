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4"/>
  </sheets>
  <definedNames/>
  <calcPr/>
</workbook>
</file>

<file path=xl/sharedStrings.xml><?xml version="1.0" encoding="utf-8"?>
<sst xmlns="http://schemas.openxmlformats.org/spreadsheetml/2006/main" count="155" uniqueCount="89">
  <si>
    <t>DIAGRAMA DE GANTT</t>
  </si>
  <si>
    <t>Consejo de Smartsheet ➜</t>
  </si>
  <si>
    <t>La línea de tiempo visual de los diagramas de Gantt te permite ver 
los detalles de las tareas, así como las dependencias del proyecto.</t>
  </si>
  <si>
    <t>TÍTULO DEL PROYECTO</t>
  </si>
  <si>
    <t>Clínica Odontológica Prisma</t>
  </si>
  <si>
    <t>NOMBRE DE LA EMPRESA</t>
  </si>
  <si>
    <t>AuraCode</t>
  </si>
  <si>
    <t>RESPONSABLE DEL PROYECTO</t>
  </si>
  <si>
    <t>Moises Alexander Martinez Perez</t>
  </si>
  <si>
    <t>FECHA</t>
  </si>
  <si>
    <t>NÚMERO EDT</t>
  </si>
  <si>
    <t>TÍTULO DE LA TAREA</t>
  </si>
  <si>
    <t>RESPONSABLE DE LA TAREA</t>
  </si>
  <si>
    <t>FECHA DE INICIO</t>
  </si>
  <si>
    <t>FECHA DE ENTREGA</t>
  </si>
  <si>
    <t>DURACIÓN</t>
  </si>
  <si>
    <t>% COMPLETADO 
DE LA TAREA</t>
  </si>
  <si>
    <t>SEMANA 1</t>
  </si>
  <si>
    <t>SEMANA 2</t>
  </si>
  <si>
    <t>SEMANA 3</t>
  </si>
  <si>
    <t>SEMANA 4</t>
  </si>
  <si>
    <t>L</t>
  </si>
  <si>
    <t>M</t>
  </si>
  <si>
    <t>X</t>
  </si>
  <si>
    <t>J</t>
  </si>
  <si>
    <t>V</t>
  </si>
  <si>
    <t>S</t>
  </si>
  <si>
    <t>D</t>
  </si>
  <si>
    <t>Inicio del proyecto</t>
  </si>
  <si>
    <t>1.1</t>
  </si>
  <si>
    <t>Identificación del cliente</t>
  </si>
  <si>
    <t>Moises Martinez</t>
  </si>
  <si>
    <t>1.2</t>
  </si>
  <si>
    <t>Reunión inicial</t>
  </si>
  <si>
    <t>1.3</t>
  </si>
  <si>
    <t>Relevamiento de información</t>
  </si>
  <si>
    <t>Emiliano Litter</t>
  </si>
  <si>
    <t>1.4</t>
  </si>
  <si>
    <t>Identificación de stakeholders</t>
  </si>
  <si>
    <t>1.5</t>
  </si>
  <si>
    <t>Project Charter</t>
  </si>
  <si>
    <t>Thiago Peretti</t>
  </si>
  <si>
    <t>1.6</t>
  </si>
  <si>
    <t>Aprobación del proyecto</t>
  </si>
  <si>
    <t>Definición y planificación del proyecto</t>
  </si>
  <si>
    <t>2.1</t>
  </si>
  <si>
    <t>Definición del alcance</t>
  </si>
  <si>
    <t>2.2</t>
  </si>
  <si>
    <t>WBS (desglose del trabajo)</t>
  </si>
  <si>
    <t>2.3</t>
  </si>
  <si>
    <t>Cronograma</t>
  </si>
  <si>
    <t>2.4</t>
  </si>
  <si>
    <t>Presupuesto</t>
  </si>
  <si>
    <t>2.5</t>
  </si>
  <si>
    <t>Asignación de recursos</t>
  </si>
  <si>
    <t>2.6</t>
  </si>
  <si>
    <t>Definición de metodología</t>
  </si>
  <si>
    <t>Ejecución del proyecto</t>
  </si>
  <si>
    <t>Diseño del proyecto</t>
  </si>
  <si>
    <t>3.1.1</t>
  </si>
  <si>
    <t>Wireframes</t>
  </si>
  <si>
    <t>3.1.2</t>
  </si>
  <si>
    <t>Mockups</t>
  </si>
  <si>
    <t>3.1.3</t>
  </si>
  <si>
    <t>Prototipo</t>
  </si>
  <si>
    <t>Justin Sanabria</t>
  </si>
  <si>
    <t>3.1.4</t>
  </si>
  <si>
    <t>Validación del diseño</t>
  </si>
  <si>
    <t>3.2</t>
  </si>
  <si>
    <t>Desarrollo del producto</t>
  </si>
  <si>
    <t>- - -</t>
  </si>
  <si>
    <t>3.2.1</t>
  </si>
  <si>
    <t>Implementación</t>
  </si>
  <si>
    <t>3.2.2</t>
  </si>
  <si>
    <t>Testing</t>
  </si>
  <si>
    <t>3.2.3</t>
  </si>
  <si>
    <t>Entregas parciales</t>
  </si>
  <si>
    <t>Rendimiento/supervisión del proyecto</t>
  </si>
  <si>
    <t>Monitoreo del progreso</t>
  </si>
  <si>
    <t>Entregas de calidad</t>
  </si>
  <si>
    <t>Seguimiento de costes y esfuerzos</t>
  </si>
  <si>
    <t>Rendimiento del proyecto</t>
  </si>
  <si>
    <t>Cierre del proyecto</t>
  </si>
  <si>
    <t>Presentación del Proyecto</t>
  </si>
  <si>
    <t>Documentación final</t>
  </si>
  <si>
    <t>5.3</t>
  </si>
  <si>
    <t>Evaluación del proyecto</t>
  </si>
  <si>
    <t>5.4</t>
  </si>
  <si>
    <t>Cobro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</si>
</sst>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&quot;$&quot;#,##0.00"/>
    <numFmt numFmtId="166" formatCode="0 %"/>
    <numFmt numFmtId="167" formatCode="dd&quot;/&quot;mm&quot;/&quot;yy"/>
    <numFmt numFmtId="168" formatCode="d.m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b/>
      <sz val="11.0"/>
      <color rgb="FF000000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8.0"/>
      <name val="Roboto"/>
    </font>
    <font>
      <b/>
      <sz val="9.0"/>
      <color rgb="FFFFFFFF"/>
      <name val="Roboto"/>
    </font>
    <font>
      <sz val="9.0"/>
      <name val="Roboto"/>
    </font>
    <font>
      <b/>
      <sz val="9.0"/>
      <color rgb="FF000000"/>
      <name val="Roboto"/>
    </font>
    <font>
      <sz val="10.0"/>
      <name val="Roboto"/>
    </font>
    <font>
      <b/>
      <sz val="10.0"/>
      <color rgb="FF434343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73C79E"/>
        <bgColor rgb="FF73C79E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</border>
    <border>
      <left style="hair">
        <color rgb="FFB7B7B7"/>
      </left>
      <bottom style="hair">
        <color rgb="FFB7B7B7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  <xf borderId="2" fillId="0" fontId="15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6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0" fillId="0" fontId="4" numFmtId="0" xfId="0" applyFont="1"/>
    <xf borderId="0" fillId="0" fontId="17" numFmtId="0" xfId="0" applyAlignment="1" applyFont="1">
      <alignment readingOrder="0" shrinkToFit="0" vertical="center" wrapText="0"/>
    </xf>
    <xf borderId="2" fillId="2" fontId="16" numFmtId="164" xfId="0" applyAlignment="1" applyBorder="1" applyFont="1" applyNumberFormat="1">
      <alignment horizontal="left" readingOrder="0" shrinkToFit="0" vertical="center" wrapText="0"/>
    </xf>
    <xf borderId="2" fillId="0" fontId="17" numFmtId="0" xfId="0" applyBorder="1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3" fillId="4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5" fillId="0" fontId="8" numFmtId="0" xfId="0" applyBorder="1" applyFont="1"/>
    <xf borderId="0" fillId="0" fontId="23" numFmtId="0" xfId="0" applyAlignment="1" applyFont="1">
      <alignment vertical="center"/>
    </xf>
    <xf borderId="6" fillId="5" fontId="24" numFmtId="0" xfId="0" applyAlignment="1" applyBorder="1" applyFill="1" applyFont="1">
      <alignment horizontal="center" readingOrder="0" shrinkToFit="0" vertical="center" wrapText="0"/>
    </xf>
    <xf borderId="7" fillId="6" fontId="16" numFmtId="0" xfId="0" applyAlignment="1" applyBorder="1" applyFill="1" applyFont="1">
      <alignment horizontal="left" readingOrder="0" shrinkToFit="0" vertical="center" wrapText="1"/>
    </xf>
    <xf borderId="7" fillId="6" fontId="16" numFmtId="0" xfId="0" applyAlignment="1" applyBorder="1" applyFont="1">
      <alignment readingOrder="0" shrinkToFit="0" vertical="center" wrapText="0"/>
    </xf>
    <xf borderId="7" fillId="6" fontId="16" numFmtId="0" xfId="0" applyAlignment="1" applyBorder="1" applyFont="1">
      <alignment readingOrder="0" shrinkToFit="0" vertical="center" wrapText="1"/>
    </xf>
    <xf borderId="0" fillId="6" fontId="16" numFmtId="0" xfId="0" applyAlignment="1" applyFont="1">
      <alignment horizontal="center" shrinkToFit="0" vertical="center" wrapText="0"/>
    </xf>
    <xf borderId="0" fillId="6" fontId="16" numFmtId="165" xfId="0" applyAlignment="1" applyFont="1" applyNumberFormat="1">
      <alignment horizontal="center" shrinkToFit="0" vertical="center" wrapText="0"/>
    </xf>
    <xf borderId="0" fillId="6" fontId="16" numFmtId="3" xfId="0" applyAlignment="1" applyFont="1" applyNumberFormat="1">
      <alignment horizontal="center" shrinkToFit="0" vertical="center" wrapText="0"/>
    </xf>
    <xf borderId="0" fillId="6" fontId="16" numFmtId="0" xfId="0" applyAlignment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8" fillId="0" fontId="26" numFmtId="49" xfId="0" applyAlignment="1" applyBorder="1" applyFont="1" applyNumberFormat="1">
      <alignment horizontal="left" readingOrder="0" shrinkToFit="0" vertical="center" wrapText="1"/>
    </xf>
    <xf borderId="8" fillId="0" fontId="26" numFmtId="0" xfId="0" applyAlignment="1" applyBorder="1" applyFont="1">
      <alignment readingOrder="0" shrinkToFit="0" vertical="center" wrapText="1"/>
    </xf>
    <xf borderId="8" fillId="0" fontId="27" numFmtId="0" xfId="0" applyAlignment="1" applyBorder="1" applyFont="1">
      <alignment horizontal="center" readingOrder="0" shrinkToFit="0" vertical="center" wrapText="1"/>
    </xf>
    <xf borderId="8" fillId="0" fontId="27" numFmtId="164" xfId="0" applyAlignment="1" applyBorder="1" applyFont="1" applyNumberFormat="1">
      <alignment horizontal="left" readingOrder="0" shrinkToFit="0" vertical="center" wrapText="1"/>
    </xf>
    <xf borderId="8" fillId="0" fontId="26" numFmtId="166" xfId="0" applyAlignment="1" applyBorder="1" applyFont="1" applyNumberFormat="1">
      <alignment horizontal="center" readingOrder="0" shrinkToFit="0" vertical="center" wrapText="1"/>
    </xf>
    <xf borderId="9" fillId="0" fontId="28" numFmtId="9" xfId="0" applyAlignment="1" applyBorder="1" applyFont="1" applyNumberFormat="1">
      <alignment horizontal="center" shrinkToFit="0" vertical="center" wrapText="0"/>
    </xf>
    <xf borderId="10" fillId="0" fontId="28" numFmtId="165" xfId="0" applyAlignment="1" applyBorder="1" applyFont="1" applyNumberFormat="1">
      <alignment horizontal="center" shrinkToFit="0" vertical="center" wrapText="0"/>
    </xf>
    <xf borderId="10" fillId="0" fontId="28" numFmtId="0" xfId="0" applyAlignment="1" applyBorder="1" applyFont="1">
      <alignment horizontal="center" shrinkToFit="0" vertical="center" wrapText="0"/>
    </xf>
    <xf borderId="11" fillId="7" fontId="28" numFmtId="0" xfId="0" applyAlignment="1" applyBorder="1" applyFill="1" applyFont="1">
      <alignment horizontal="center" shrinkToFit="0" vertical="center" wrapText="0"/>
    </xf>
    <xf borderId="11" fillId="0" fontId="28" numFmtId="0" xfId="0" applyAlignment="1" applyBorder="1" applyFont="1">
      <alignment horizontal="center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4" fillId="8" fontId="22" numFmtId="0" xfId="0" applyAlignment="1" applyBorder="1" applyFont="1">
      <alignment horizontal="center" readingOrder="0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13" fillId="0" fontId="28" numFmtId="9" xfId="0" applyAlignment="1" applyBorder="1" applyFont="1" applyNumberFormat="1">
      <alignment horizontal="center" shrinkToFit="0" vertical="center" wrapText="0"/>
    </xf>
    <xf borderId="10" fillId="7" fontId="28" numFmtId="0" xfId="0" applyAlignment="1" applyBorder="1" applyFont="1">
      <alignment horizontal="center" shrinkToFit="0" vertical="center" wrapText="0"/>
    </xf>
    <xf borderId="14" fillId="0" fontId="28" numFmtId="9" xfId="0" applyAlignment="1" applyBorder="1" applyFont="1" applyNumberFormat="1">
      <alignment horizontal="center" shrinkToFit="0" vertical="center" wrapText="0"/>
    </xf>
    <xf borderId="11" fillId="0" fontId="28" numFmtId="165" xfId="0" applyAlignment="1" applyBorder="1" applyFont="1" applyNumberFormat="1">
      <alignment horizontal="center" shrinkToFit="0" vertical="center" wrapText="0"/>
    </xf>
    <xf borderId="11" fillId="0" fontId="28" numFmtId="0" xfId="0" applyAlignment="1" applyBorder="1" applyFont="1">
      <alignment horizontal="center" shrinkToFit="0" vertical="center" wrapText="0"/>
    </xf>
    <xf borderId="4" fillId="9" fontId="22" numFmtId="0" xfId="0" applyAlignment="1" applyBorder="1" applyFill="1" applyFont="1">
      <alignment horizontal="center" readingOrder="0" shrinkToFit="0" vertical="center" wrapText="0"/>
    </xf>
    <xf borderId="11" fillId="0" fontId="29" numFmtId="0" xfId="0" applyBorder="1" applyFont="1"/>
    <xf borderId="15" fillId="0" fontId="28" numFmtId="0" xfId="0" applyAlignment="1" applyBorder="1" applyFont="1">
      <alignment horizontal="center" shrinkToFit="0" vertical="center" wrapText="0"/>
    </xf>
    <xf borderId="15" fillId="7" fontId="28" numFmtId="0" xfId="0" applyAlignment="1" applyBorder="1" applyFont="1">
      <alignment horizontal="center" shrinkToFit="0" vertical="center" wrapText="0"/>
    </xf>
    <xf borderId="8" fillId="0" fontId="27" numFmtId="167" xfId="0" applyAlignment="1" applyBorder="1" applyFont="1" applyNumberFormat="1">
      <alignment horizontal="left" readingOrder="0" shrinkToFit="0" vertical="center" wrapText="1"/>
    </xf>
    <xf borderId="16" fillId="0" fontId="28" numFmtId="0" xfId="0" applyAlignment="1" applyBorder="1" applyFont="1">
      <alignment horizontal="center" shrinkToFit="0" vertical="center" wrapText="0"/>
    </xf>
    <xf borderId="3" fillId="9" fontId="22" numFmtId="0" xfId="0" applyAlignment="1" applyBorder="1" applyFont="1">
      <alignment horizontal="center" readingOrder="0" shrinkToFit="0" vertical="center" wrapText="0"/>
    </xf>
    <xf borderId="5" fillId="9" fontId="22" numFmtId="0" xfId="0" applyAlignment="1" applyBorder="1" applyFont="1">
      <alignment horizontal="center" readingOrder="0" shrinkToFit="0" vertical="center" wrapText="0"/>
    </xf>
    <xf borderId="10" fillId="0" fontId="28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7" fontId="28" numFmtId="0" xfId="0" applyAlignment="1" applyFont="1">
      <alignment horizontal="center" shrinkToFit="0" vertical="center" wrapText="0"/>
    </xf>
    <xf borderId="8" fillId="0" fontId="26" numFmtId="168" xfId="0" applyAlignment="1" applyBorder="1" applyFont="1" applyNumberFormat="1">
      <alignment horizontal="left" readingOrder="0" shrinkToFit="0" vertical="center" wrapText="1"/>
    </xf>
    <xf borderId="5" fillId="10" fontId="22" numFmtId="0" xfId="0" applyAlignment="1" applyBorder="1" applyFill="1" applyFont="1">
      <alignment horizontal="center" readingOrder="0" shrinkToFit="0" vertical="center" wrapText="0"/>
    </xf>
    <xf borderId="8" fillId="0" fontId="27" numFmtId="0" xfId="0" applyAlignment="1" applyBorder="1" applyFont="1">
      <alignment readingOrder="0" shrinkToFit="0" vertical="center" wrapText="1"/>
    </xf>
    <xf borderId="8" fillId="11" fontId="26" numFmtId="166" xfId="0" applyAlignment="1" applyBorder="1" applyFill="1" applyFont="1" applyNumberFormat="1">
      <alignment horizontal="center" readingOrder="0" shrinkToFit="0" vertical="center" wrapText="1"/>
    </xf>
    <xf borderId="4" fillId="12" fontId="22" numFmtId="0" xfId="0" applyAlignment="1" applyBorder="1" applyFill="1" applyFont="1">
      <alignment horizontal="center" readingOrder="0" shrinkToFit="0" vertical="center" wrapText="0"/>
    </xf>
    <xf borderId="8" fillId="0" fontId="27" numFmtId="166" xfId="0" applyAlignment="1" applyBorder="1" applyFont="1" applyNumberFormat="1">
      <alignment horizontal="center" readingOrder="0" shrinkToFit="0" vertical="center" wrapText="1"/>
    </xf>
    <xf borderId="10" fillId="13" fontId="28" numFmtId="0" xfId="0" applyAlignment="1" applyBorder="1" applyFill="1" applyFont="1">
      <alignment horizontal="center" shrinkToFit="0" vertical="center" wrapText="0"/>
    </xf>
    <xf borderId="8" fillId="11" fontId="27" numFmtId="166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88"/>
    <col customWidth="1" min="4" max="4" width="19.0"/>
    <col customWidth="1" min="5" max="6" width="10.5"/>
    <col customWidth="1" min="7" max="7" width="9.63"/>
    <col customWidth="1" min="9" max="36" width="3.0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 t="s">
        <v>1</v>
      </c>
      <c r="J2" s="12"/>
      <c r="K2" s="12"/>
      <c r="L2" s="12"/>
      <c r="M2" s="12"/>
      <c r="N2" s="12"/>
      <c r="O2" s="14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ht="21.0" customHeight="1">
      <c r="A3" s="1"/>
      <c r="B3" s="15"/>
      <c r="C3" s="15"/>
      <c r="D3" s="16"/>
      <c r="E3" s="16"/>
      <c r="F3" s="16"/>
      <c r="G3" s="16"/>
      <c r="H3" s="16"/>
      <c r="I3" s="17"/>
      <c r="J3" s="17"/>
      <c r="K3" s="17"/>
      <c r="L3" s="17"/>
      <c r="M3" s="18"/>
      <c r="N3" s="18"/>
      <c r="O3" s="1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</row>
    <row r="4" ht="21.0" customHeight="1">
      <c r="A4" s="1"/>
      <c r="B4" s="19" t="s">
        <v>3</v>
      </c>
      <c r="C4" s="20"/>
      <c r="D4" s="21" t="s">
        <v>4</v>
      </c>
      <c r="E4" s="20"/>
      <c r="F4" s="20"/>
      <c r="G4" s="20"/>
      <c r="H4" s="22"/>
      <c r="I4" s="19" t="s">
        <v>5</v>
      </c>
      <c r="J4" s="20"/>
      <c r="K4" s="20"/>
      <c r="L4" s="20"/>
      <c r="M4" s="20"/>
      <c r="N4" s="20"/>
      <c r="O4" s="20"/>
      <c r="P4" s="21" t="s">
        <v>6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3"/>
      <c r="AD4" s="10"/>
      <c r="AE4" s="10"/>
      <c r="AF4" s="10"/>
      <c r="AG4" s="10"/>
      <c r="AH4" s="10"/>
      <c r="AI4" s="10"/>
      <c r="AJ4" s="10"/>
    </row>
    <row r="5" ht="21.0" customHeight="1">
      <c r="A5" s="1"/>
      <c r="B5" s="19" t="s">
        <v>7</v>
      </c>
      <c r="C5" s="20"/>
      <c r="D5" s="21" t="s">
        <v>8</v>
      </c>
      <c r="E5" s="20"/>
      <c r="F5" s="20"/>
      <c r="G5" s="20"/>
      <c r="H5" s="24"/>
      <c r="I5" s="19" t="s">
        <v>9</v>
      </c>
      <c r="J5" s="20"/>
      <c r="K5" s="20"/>
      <c r="L5" s="20"/>
      <c r="M5" s="20"/>
      <c r="N5" s="20"/>
      <c r="O5" s="20"/>
      <c r="P5" s="25">
        <v>46098.0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6"/>
      <c r="AC5" s="23"/>
      <c r="AD5" s="1"/>
      <c r="AE5" s="1"/>
      <c r="AF5" s="1"/>
      <c r="AG5" s="1"/>
      <c r="AH5" s="1"/>
      <c r="AI5" s="1"/>
      <c r="AJ5" s="1"/>
    </row>
    <row r="6" ht="21.0" customHeight="1">
      <c r="A6" s="27"/>
      <c r="B6" s="28"/>
      <c r="C6" s="28"/>
      <c r="D6" s="28"/>
      <c r="E6" s="28"/>
      <c r="F6" s="28"/>
      <c r="G6" s="29"/>
      <c r="H6" s="29"/>
      <c r="I6" s="28"/>
      <c r="J6" s="28"/>
      <c r="K6" s="28"/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21.0" customHeight="1">
      <c r="A7" s="27"/>
      <c r="B7" s="28"/>
      <c r="C7" s="28"/>
      <c r="D7" s="28"/>
      <c r="E7" s="28"/>
      <c r="F7" s="28"/>
      <c r="G7" s="29"/>
      <c r="H7" s="29"/>
      <c r="I7" s="28"/>
      <c r="J7" s="28"/>
      <c r="K7" s="28"/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17.25" customHeight="1">
      <c r="A8" s="30"/>
      <c r="B8" s="31" t="s">
        <v>10</v>
      </c>
      <c r="C8" s="31" t="s">
        <v>11</v>
      </c>
      <c r="D8" s="31" t="s">
        <v>12</v>
      </c>
      <c r="E8" s="31" t="s">
        <v>13</v>
      </c>
      <c r="F8" s="31" t="s">
        <v>14</v>
      </c>
      <c r="G8" s="31" t="s">
        <v>15</v>
      </c>
      <c r="H8" s="31" t="s">
        <v>16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17.25" customHeight="1">
      <c r="A9" s="32"/>
      <c r="I9" s="33" t="s">
        <v>17</v>
      </c>
      <c r="J9" s="34"/>
      <c r="K9" s="34"/>
      <c r="L9" s="34"/>
      <c r="M9" s="34"/>
      <c r="N9" s="34"/>
      <c r="O9" s="35"/>
      <c r="P9" s="33" t="s">
        <v>18</v>
      </c>
      <c r="Q9" s="34"/>
      <c r="R9" s="34"/>
      <c r="S9" s="34"/>
      <c r="T9" s="34"/>
      <c r="U9" s="34"/>
      <c r="V9" s="35"/>
      <c r="W9" s="33" t="s">
        <v>19</v>
      </c>
      <c r="X9" s="34"/>
      <c r="Y9" s="34"/>
      <c r="Z9" s="34"/>
      <c r="AA9" s="34"/>
      <c r="AB9" s="34"/>
      <c r="AC9" s="35"/>
      <c r="AD9" s="33" t="s">
        <v>20</v>
      </c>
      <c r="AE9" s="34"/>
      <c r="AF9" s="34"/>
      <c r="AG9" s="34"/>
      <c r="AH9" s="34"/>
      <c r="AI9" s="34"/>
      <c r="AJ9" s="35"/>
    </row>
    <row r="10" ht="17.25" customHeight="1">
      <c r="A10" s="36"/>
      <c r="I10" s="37" t="s">
        <v>21</v>
      </c>
      <c r="J10" s="37" t="s">
        <v>22</v>
      </c>
      <c r="K10" s="37" t="s">
        <v>23</v>
      </c>
      <c r="L10" s="37" t="s">
        <v>24</v>
      </c>
      <c r="M10" s="37" t="s">
        <v>25</v>
      </c>
      <c r="N10" s="37" t="s">
        <v>26</v>
      </c>
      <c r="O10" s="37" t="s">
        <v>27</v>
      </c>
      <c r="P10" s="37" t="s">
        <v>21</v>
      </c>
      <c r="Q10" s="37" t="s">
        <v>22</v>
      </c>
      <c r="R10" s="37" t="s">
        <v>23</v>
      </c>
      <c r="S10" s="37" t="s">
        <v>24</v>
      </c>
      <c r="T10" s="37" t="s">
        <v>25</v>
      </c>
      <c r="U10" s="37" t="s">
        <v>26</v>
      </c>
      <c r="V10" s="37" t="s">
        <v>27</v>
      </c>
      <c r="W10" s="37" t="s">
        <v>21</v>
      </c>
      <c r="X10" s="37" t="s">
        <v>22</v>
      </c>
      <c r="Y10" s="37" t="s">
        <v>23</v>
      </c>
      <c r="Z10" s="37" t="s">
        <v>24</v>
      </c>
      <c r="AA10" s="37" t="s">
        <v>25</v>
      </c>
      <c r="AB10" s="37" t="s">
        <v>26</v>
      </c>
      <c r="AC10" s="37" t="s">
        <v>27</v>
      </c>
      <c r="AD10" s="37" t="s">
        <v>21</v>
      </c>
      <c r="AE10" s="37" t="s">
        <v>22</v>
      </c>
      <c r="AF10" s="37" t="s">
        <v>23</v>
      </c>
      <c r="AG10" s="37" t="s">
        <v>24</v>
      </c>
      <c r="AH10" s="37" t="s">
        <v>25</v>
      </c>
      <c r="AI10" s="37" t="s">
        <v>26</v>
      </c>
      <c r="AJ10" s="37" t="s">
        <v>27</v>
      </c>
    </row>
    <row r="11" ht="21.0" customHeight="1">
      <c r="A11" s="27"/>
      <c r="B11" s="38">
        <v>1.0</v>
      </c>
      <c r="C11" s="39" t="s">
        <v>28</v>
      </c>
      <c r="D11" s="40"/>
      <c r="E11" s="40"/>
      <c r="F11" s="40"/>
      <c r="G11" s="40"/>
      <c r="H11" s="40"/>
      <c r="I11" s="41"/>
      <c r="J11" s="42"/>
      <c r="K11" s="43"/>
      <c r="L11" s="43"/>
      <c r="M11" s="44"/>
      <c r="N11" s="41"/>
      <c r="O11" s="44"/>
      <c r="P11" s="41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</row>
    <row r="12" ht="18.75" customHeight="1" outlineLevel="1">
      <c r="A12" s="45"/>
      <c r="B12" s="46" t="s">
        <v>29</v>
      </c>
      <c r="C12" s="47" t="s">
        <v>30</v>
      </c>
      <c r="D12" s="48" t="s">
        <v>31</v>
      </c>
      <c r="E12" s="49">
        <v>46098.0</v>
      </c>
      <c r="F12" s="49">
        <v>46101.0</v>
      </c>
      <c r="G12" s="48">
        <f t="shared" ref="G12:G17" si="1">DAYS360(E12,F12)</f>
        <v>3</v>
      </c>
      <c r="H12" s="50">
        <v>1.0</v>
      </c>
      <c r="I12" s="51"/>
      <c r="J12" s="52"/>
      <c r="K12" s="53"/>
      <c r="L12" s="53"/>
      <c r="M12" s="53"/>
      <c r="N12" s="54"/>
      <c r="O12" s="54"/>
      <c r="P12" s="55"/>
      <c r="Q12" s="56"/>
      <c r="R12" s="57"/>
      <c r="S12" s="57"/>
      <c r="T12" s="57"/>
      <c r="U12" s="54"/>
      <c r="V12" s="54"/>
      <c r="W12" s="55"/>
      <c r="X12" s="58"/>
      <c r="Y12" s="55"/>
      <c r="Z12" s="55"/>
      <c r="AA12" s="55"/>
      <c r="AB12" s="54"/>
      <c r="AC12" s="54"/>
      <c r="AD12" s="55"/>
      <c r="AE12" s="55"/>
      <c r="AF12" s="55"/>
      <c r="AG12" s="55"/>
      <c r="AH12" s="55"/>
      <c r="AI12" s="54"/>
      <c r="AJ12" s="54"/>
    </row>
    <row r="13" ht="18.75" customHeight="1" outlineLevel="1">
      <c r="A13" s="45"/>
      <c r="B13" s="46" t="s">
        <v>32</v>
      </c>
      <c r="C13" s="47" t="s">
        <v>33</v>
      </c>
      <c r="D13" s="48" t="s">
        <v>31</v>
      </c>
      <c r="E13" s="49">
        <v>46098.0</v>
      </c>
      <c r="F13" s="49">
        <v>46101.0</v>
      </c>
      <c r="G13" s="48">
        <f t="shared" si="1"/>
        <v>3</v>
      </c>
      <c r="H13" s="50">
        <v>1.0</v>
      </c>
      <c r="I13" s="59"/>
      <c r="J13" s="52"/>
      <c r="K13" s="53"/>
      <c r="L13" s="53"/>
      <c r="M13" s="53"/>
      <c r="N13" s="54"/>
      <c r="O13" s="54"/>
      <c r="P13" s="55"/>
      <c r="Q13" s="57"/>
      <c r="R13" s="57"/>
      <c r="S13" s="57"/>
      <c r="T13" s="57"/>
      <c r="U13" s="54"/>
      <c r="V13" s="54"/>
      <c r="W13" s="55"/>
      <c r="X13" s="55"/>
      <c r="Y13" s="53"/>
      <c r="Z13" s="53"/>
      <c r="AA13" s="53"/>
      <c r="AB13" s="54"/>
      <c r="AC13" s="60"/>
      <c r="AD13" s="55"/>
      <c r="AE13" s="55"/>
      <c r="AF13" s="55"/>
      <c r="AG13" s="55"/>
      <c r="AH13" s="55"/>
      <c r="AI13" s="54"/>
      <c r="AJ13" s="60"/>
    </row>
    <row r="14" ht="18.75" customHeight="1" outlineLevel="1">
      <c r="A14" s="45"/>
      <c r="B14" s="46" t="s">
        <v>34</v>
      </c>
      <c r="C14" s="47" t="s">
        <v>35</v>
      </c>
      <c r="D14" s="48" t="s">
        <v>36</v>
      </c>
      <c r="E14" s="49">
        <v>46101.0</v>
      </c>
      <c r="F14" s="49">
        <v>46102.0</v>
      </c>
      <c r="G14" s="48">
        <f t="shared" si="1"/>
        <v>1</v>
      </c>
      <c r="H14" s="50">
        <v>1.0</v>
      </c>
      <c r="I14" s="59"/>
      <c r="J14" s="52"/>
      <c r="K14" s="53"/>
      <c r="L14" s="53"/>
      <c r="M14" s="53"/>
      <c r="N14" s="54"/>
      <c r="O14" s="54"/>
      <c r="P14" s="55"/>
      <c r="Q14" s="52"/>
      <c r="R14" s="53"/>
      <c r="S14" s="53"/>
      <c r="T14" s="57"/>
      <c r="U14" s="57"/>
      <c r="V14" s="54"/>
      <c r="W14" s="55"/>
      <c r="X14" s="55"/>
      <c r="Y14" s="53"/>
      <c r="Z14" s="53"/>
      <c r="AA14" s="53"/>
      <c r="AB14" s="54"/>
      <c r="AC14" s="60"/>
      <c r="AD14" s="55"/>
      <c r="AE14" s="55"/>
      <c r="AF14" s="55"/>
      <c r="AG14" s="55"/>
      <c r="AH14" s="55"/>
      <c r="AI14" s="54"/>
      <c r="AJ14" s="60"/>
    </row>
    <row r="15" ht="18.75" customHeight="1" outlineLevel="1">
      <c r="A15" s="45"/>
      <c r="B15" s="46" t="s">
        <v>37</v>
      </c>
      <c r="C15" s="47" t="s">
        <v>38</v>
      </c>
      <c r="D15" s="48" t="s">
        <v>36</v>
      </c>
      <c r="E15" s="49">
        <v>46101.0</v>
      </c>
      <c r="F15" s="49">
        <v>46102.0</v>
      </c>
      <c r="G15" s="48">
        <f t="shared" si="1"/>
        <v>1</v>
      </c>
      <c r="H15" s="50">
        <v>1.0</v>
      </c>
      <c r="I15" s="59"/>
      <c r="J15" s="52"/>
      <c r="K15" s="53"/>
      <c r="L15" s="53"/>
      <c r="M15" s="53"/>
      <c r="N15" s="54"/>
      <c r="O15" s="54"/>
      <c r="P15" s="55"/>
      <c r="Q15" s="52"/>
      <c r="R15" s="53"/>
      <c r="S15" s="53"/>
      <c r="T15" s="57"/>
      <c r="U15" s="57"/>
      <c r="V15" s="54"/>
      <c r="W15" s="55"/>
      <c r="X15" s="55"/>
      <c r="Y15" s="53"/>
      <c r="Z15" s="53"/>
      <c r="AA15" s="53"/>
      <c r="AB15" s="54"/>
      <c r="AC15" s="60"/>
      <c r="AD15" s="55"/>
      <c r="AE15" s="55"/>
      <c r="AF15" s="55"/>
      <c r="AG15" s="55"/>
      <c r="AH15" s="55"/>
      <c r="AI15" s="54"/>
      <c r="AJ15" s="60"/>
    </row>
    <row r="16" ht="18.75" customHeight="1" outlineLevel="1">
      <c r="A16" s="45"/>
      <c r="B16" s="46" t="s">
        <v>39</v>
      </c>
      <c r="C16" s="47" t="s">
        <v>40</v>
      </c>
      <c r="D16" s="48" t="s">
        <v>41</v>
      </c>
      <c r="E16" s="49">
        <v>46101.0</v>
      </c>
      <c r="F16" s="49">
        <v>46105.0</v>
      </c>
      <c r="G16" s="48">
        <f t="shared" si="1"/>
        <v>4</v>
      </c>
      <c r="H16" s="50">
        <v>1.0</v>
      </c>
      <c r="I16" s="59"/>
      <c r="J16" s="52"/>
      <c r="K16" s="53"/>
      <c r="L16" s="53"/>
      <c r="M16" s="53"/>
      <c r="N16" s="54"/>
      <c r="O16" s="54"/>
      <c r="P16" s="55"/>
      <c r="Q16" s="52"/>
      <c r="R16" s="53"/>
      <c r="S16" s="53"/>
      <c r="T16" s="57"/>
      <c r="U16" s="57"/>
      <c r="V16" s="57"/>
      <c r="W16" s="57"/>
      <c r="X16" s="57"/>
      <c r="Y16" s="53"/>
      <c r="Z16" s="53"/>
      <c r="AA16" s="53"/>
      <c r="AB16" s="54"/>
      <c r="AC16" s="60"/>
      <c r="AD16" s="55"/>
      <c r="AE16" s="55"/>
      <c r="AF16" s="55"/>
      <c r="AG16" s="55"/>
      <c r="AH16" s="55"/>
      <c r="AI16" s="54"/>
      <c r="AJ16" s="60"/>
    </row>
    <row r="17" ht="18.75" customHeight="1" outlineLevel="1">
      <c r="A17" s="45"/>
      <c r="B17" s="46" t="s">
        <v>42</v>
      </c>
      <c r="C17" s="47" t="s">
        <v>43</v>
      </c>
      <c r="D17" s="48" t="s">
        <v>31</v>
      </c>
      <c r="E17" s="49">
        <v>46105.0</v>
      </c>
      <c r="F17" s="49">
        <v>46105.0</v>
      </c>
      <c r="G17" s="48">
        <f t="shared" si="1"/>
        <v>0</v>
      </c>
      <c r="H17" s="50">
        <v>1.0</v>
      </c>
      <c r="I17" s="59"/>
      <c r="J17" s="52"/>
      <c r="K17" s="53"/>
      <c r="L17" s="53"/>
      <c r="M17" s="53"/>
      <c r="N17" s="54"/>
      <c r="O17" s="54"/>
      <c r="P17" s="55"/>
      <c r="Q17" s="52"/>
      <c r="R17" s="53"/>
      <c r="S17" s="53"/>
      <c r="T17" s="53"/>
      <c r="U17" s="54"/>
      <c r="V17" s="54"/>
      <c r="W17" s="55"/>
      <c r="X17" s="57"/>
      <c r="Y17" s="53"/>
      <c r="Z17" s="53"/>
      <c r="AA17" s="53"/>
      <c r="AB17" s="54"/>
      <c r="AC17" s="60"/>
      <c r="AD17" s="55"/>
      <c r="AE17" s="55"/>
      <c r="AF17" s="55"/>
      <c r="AG17" s="55"/>
      <c r="AH17" s="55"/>
      <c r="AI17" s="54"/>
      <c r="AJ17" s="60"/>
    </row>
    <row r="18" ht="21.0" customHeight="1">
      <c r="A18" s="27"/>
      <c r="B18" s="38">
        <v>2.0</v>
      </c>
      <c r="C18" s="39" t="s">
        <v>44</v>
      </c>
      <c r="D18" s="40"/>
      <c r="E18" s="40"/>
      <c r="F18" s="40"/>
      <c r="G18" s="40"/>
      <c r="H18" s="40"/>
      <c r="I18" s="41"/>
      <c r="J18" s="42"/>
      <c r="K18" s="43"/>
      <c r="L18" s="43"/>
      <c r="M18" s="44"/>
      <c r="N18" s="41"/>
      <c r="O18" s="44"/>
      <c r="P18" s="41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18.75" customHeight="1" outlineLevel="1">
      <c r="A19" s="45"/>
      <c r="B19" s="46" t="s">
        <v>45</v>
      </c>
      <c r="C19" s="47" t="s">
        <v>46</v>
      </c>
      <c r="D19" s="48" t="s">
        <v>36</v>
      </c>
      <c r="E19" s="49">
        <v>46105.0</v>
      </c>
      <c r="F19" s="49">
        <v>46105.0</v>
      </c>
      <c r="G19" s="48">
        <f t="shared" ref="G19:G24" si="2">DAYS360(E19,F19)</f>
        <v>0</v>
      </c>
      <c r="H19" s="50">
        <v>1.0</v>
      </c>
      <c r="I19" s="61"/>
      <c r="J19" s="62"/>
      <c r="K19" s="63"/>
      <c r="L19" s="63"/>
      <c r="M19" s="63"/>
      <c r="N19" s="54"/>
      <c r="O19" s="54"/>
      <c r="P19" s="55"/>
      <c r="Q19" s="55"/>
      <c r="R19" s="55"/>
      <c r="S19" s="55"/>
      <c r="T19" s="55"/>
      <c r="U19" s="54"/>
      <c r="V19" s="54"/>
      <c r="W19" s="55"/>
      <c r="X19" s="64"/>
      <c r="Y19" s="55"/>
      <c r="Z19" s="55"/>
      <c r="AA19" s="55"/>
      <c r="AB19" s="54"/>
      <c r="AC19" s="54"/>
      <c r="AD19" s="55"/>
      <c r="AE19" s="53"/>
      <c r="AF19" s="65"/>
      <c r="AG19" s="65"/>
      <c r="AH19" s="65"/>
      <c r="AI19" s="54"/>
      <c r="AJ19" s="54"/>
    </row>
    <row r="20" ht="18.75" customHeight="1" outlineLevel="1">
      <c r="A20" s="45"/>
      <c r="B20" s="46" t="s">
        <v>47</v>
      </c>
      <c r="C20" s="47" t="s">
        <v>48</v>
      </c>
      <c r="D20" s="48" t="s">
        <v>31</v>
      </c>
      <c r="E20" s="49">
        <v>46105.0</v>
      </c>
      <c r="F20" s="49">
        <v>46105.0</v>
      </c>
      <c r="G20" s="48">
        <f t="shared" si="2"/>
        <v>0</v>
      </c>
      <c r="H20" s="50">
        <v>1.0</v>
      </c>
      <c r="I20" s="61"/>
      <c r="J20" s="62"/>
      <c r="K20" s="63"/>
      <c r="L20" s="63"/>
      <c r="M20" s="63"/>
      <c r="N20" s="54"/>
      <c r="O20" s="54"/>
      <c r="P20" s="55"/>
      <c r="Q20" s="55"/>
      <c r="R20" s="55"/>
      <c r="S20" s="55"/>
      <c r="T20" s="55"/>
      <c r="U20" s="54"/>
      <c r="V20" s="54"/>
      <c r="W20" s="55"/>
      <c r="X20" s="64"/>
      <c r="Y20" s="66"/>
      <c r="Z20" s="66"/>
      <c r="AA20" s="66"/>
      <c r="AB20" s="67"/>
      <c r="AC20" s="67"/>
      <c r="AD20" s="66"/>
      <c r="AE20" s="53"/>
      <c r="AF20" s="65"/>
      <c r="AG20" s="65"/>
      <c r="AH20" s="65"/>
      <c r="AI20" s="54"/>
      <c r="AJ20" s="60"/>
    </row>
    <row r="21" ht="18.75" customHeight="1" outlineLevel="1">
      <c r="A21" s="45"/>
      <c r="B21" s="46" t="s">
        <v>49</v>
      </c>
      <c r="C21" s="47" t="s">
        <v>50</v>
      </c>
      <c r="D21" s="48" t="s">
        <v>41</v>
      </c>
      <c r="E21" s="49">
        <v>46105.0</v>
      </c>
      <c r="F21" s="68">
        <v>46112.0</v>
      </c>
      <c r="G21" s="48">
        <f t="shared" si="2"/>
        <v>7</v>
      </c>
      <c r="H21" s="50">
        <v>1.0</v>
      </c>
      <c r="I21" s="61"/>
      <c r="J21" s="62"/>
      <c r="K21" s="63"/>
      <c r="L21" s="63"/>
      <c r="M21" s="63"/>
      <c r="N21" s="54"/>
      <c r="O21" s="54"/>
      <c r="P21" s="55"/>
      <c r="Q21" s="55"/>
      <c r="R21" s="55"/>
      <c r="S21" s="55"/>
      <c r="T21" s="55"/>
      <c r="U21" s="54"/>
      <c r="V21" s="54"/>
      <c r="W21" s="69"/>
      <c r="X21" s="70"/>
      <c r="Y21" s="64"/>
      <c r="Z21" s="64"/>
      <c r="AA21" s="64"/>
      <c r="AB21" s="64"/>
      <c r="AC21" s="64"/>
      <c r="AD21" s="71"/>
      <c r="AE21" s="64"/>
      <c r="AF21" s="65"/>
      <c r="AG21" s="65"/>
      <c r="AH21" s="65"/>
      <c r="AI21" s="54"/>
      <c r="AJ21" s="60"/>
    </row>
    <row r="22" ht="18.75" customHeight="1" outlineLevel="1">
      <c r="A22" s="45"/>
      <c r="B22" s="46" t="s">
        <v>51</v>
      </c>
      <c r="C22" s="47" t="s">
        <v>52</v>
      </c>
      <c r="D22" s="48" t="s">
        <v>41</v>
      </c>
      <c r="E22" s="49">
        <v>46094.0</v>
      </c>
      <c r="F22" s="49">
        <v>46101.0</v>
      </c>
      <c r="G22" s="48">
        <f t="shared" si="2"/>
        <v>7</v>
      </c>
      <c r="H22" s="50">
        <v>1.0</v>
      </c>
      <c r="I22" s="59"/>
      <c r="J22" s="52"/>
      <c r="K22" s="72"/>
      <c r="L22" s="72"/>
      <c r="M22" s="64"/>
      <c r="N22" s="64"/>
      <c r="O22" s="64"/>
      <c r="P22" s="64"/>
      <c r="Q22" s="64"/>
      <c r="R22" s="64"/>
      <c r="S22" s="64"/>
      <c r="T22" s="64"/>
      <c r="U22" s="54"/>
      <c r="V22" s="54"/>
      <c r="W22" s="55"/>
      <c r="X22" s="55"/>
      <c r="Y22" s="55"/>
      <c r="Z22" s="55"/>
      <c r="AA22" s="55"/>
      <c r="AB22" s="54"/>
      <c r="AC22" s="54"/>
      <c r="AD22" s="65"/>
      <c r="AE22" s="65"/>
      <c r="AF22" s="65"/>
      <c r="AG22" s="65"/>
      <c r="AH22" s="65"/>
      <c r="AI22" s="54"/>
      <c r="AJ22" s="60"/>
    </row>
    <row r="23" ht="18.75" customHeight="1" outlineLevel="1">
      <c r="A23" s="45"/>
      <c r="B23" s="46" t="s">
        <v>53</v>
      </c>
      <c r="C23" s="47" t="s">
        <v>54</v>
      </c>
      <c r="D23" s="48" t="s">
        <v>31</v>
      </c>
      <c r="E23" s="49">
        <v>46108.0</v>
      </c>
      <c r="F23" s="49">
        <v>46108.0</v>
      </c>
      <c r="G23" s="48">
        <f t="shared" si="2"/>
        <v>0</v>
      </c>
      <c r="H23" s="50">
        <v>1.0</v>
      </c>
      <c r="I23" s="59"/>
      <c r="J23" s="52"/>
      <c r="K23" s="72"/>
      <c r="L23" s="72"/>
      <c r="M23" s="53"/>
      <c r="N23" s="54"/>
      <c r="O23" s="54"/>
      <c r="P23" s="55"/>
      <c r="Q23" s="55"/>
      <c r="R23" s="55"/>
      <c r="S23" s="53"/>
      <c r="T23" s="53"/>
      <c r="U23" s="54"/>
      <c r="V23" s="54"/>
      <c r="W23" s="53"/>
      <c r="X23" s="53"/>
      <c r="Y23" s="53"/>
      <c r="Z23" s="53"/>
      <c r="AA23" s="64"/>
      <c r="AB23" s="54"/>
      <c r="AC23" s="54"/>
      <c r="AD23" s="65"/>
      <c r="AE23" s="65"/>
      <c r="AF23" s="65"/>
      <c r="AG23" s="65"/>
      <c r="AH23" s="65"/>
      <c r="AI23" s="54"/>
      <c r="AJ23" s="60"/>
    </row>
    <row r="24" ht="18.75" customHeight="1" outlineLevel="1">
      <c r="A24" s="45"/>
      <c r="B24" s="46" t="s">
        <v>55</v>
      </c>
      <c r="C24" s="47" t="s">
        <v>56</v>
      </c>
      <c r="D24" s="48" t="s">
        <v>31</v>
      </c>
      <c r="E24" s="49">
        <v>46105.0</v>
      </c>
      <c r="F24" s="49">
        <v>46105.0</v>
      </c>
      <c r="G24" s="48">
        <f t="shared" si="2"/>
        <v>0</v>
      </c>
      <c r="H24" s="50">
        <v>1.0</v>
      </c>
      <c r="I24" s="59"/>
      <c r="J24" s="52"/>
      <c r="K24" s="72"/>
      <c r="L24" s="72"/>
      <c r="M24" s="53"/>
      <c r="N24" s="54"/>
      <c r="O24" s="54"/>
      <c r="P24" s="55"/>
      <c r="Q24" s="55"/>
      <c r="R24" s="55"/>
      <c r="S24" s="53"/>
      <c r="T24" s="53"/>
      <c r="U24" s="54"/>
      <c r="V24" s="54"/>
      <c r="W24" s="73"/>
      <c r="X24" s="64"/>
      <c r="Y24" s="53"/>
      <c r="Z24" s="53"/>
      <c r="AA24" s="53"/>
      <c r="AB24" s="54"/>
      <c r="AC24" s="74"/>
      <c r="AD24" s="65"/>
      <c r="AE24" s="65"/>
      <c r="AF24" s="65"/>
      <c r="AG24" s="65"/>
      <c r="AH24" s="65"/>
      <c r="AI24" s="54"/>
      <c r="AJ24" s="60"/>
    </row>
    <row r="25" ht="21.0" customHeight="1">
      <c r="A25" s="27"/>
      <c r="B25" s="38">
        <v>3.0</v>
      </c>
      <c r="C25" s="39" t="s">
        <v>57</v>
      </c>
      <c r="D25" s="40"/>
      <c r="E25" s="40"/>
      <c r="F25" s="40"/>
      <c r="G25" s="40"/>
      <c r="H25" s="40"/>
      <c r="I25" s="41"/>
      <c r="J25" s="42"/>
      <c r="K25" s="43"/>
      <c r="L25" s="43"/>
      <c r="M25" s="44"/>
      <c r="N25" s="41"/>
      <c r="O25" s="44"/>
      <c r="P25" s="41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ht="18.75" customHeight="1" outlineLevel="1">
      <c r="A26" s="45"/>
      <c r="B26" s="75">
        <v>43103.0</v>
      </c>
      <c r="C26" s="47" t="s">
        <v>58</v>
      </c>
      <c r="D26" s="48" t="s">
        <v>36</v>
      </c>
      <c r="E26" s="49">
        <v>46098.0</v>
      </c>
      <c r="F26" s="49">
        <v>46105.0</v>
      </c>
      <c r="G26" s="48">
        <f t="shared" ref="G26:G30" si="3">DAYS360(E26,F26)</f>
        <v>7</v>
      </c>
      <c r="H26" s="50">
        <v>1.0</v>
      </c>
      <c r="I26" s="61"/>
      <c r="J26" s="62"/>
      <c r="K26" s="63"/>
      <c r="L26" s="63"/>
      <c r="M26" s="63"/>
      <c r="N26" s="54"/>
      <c r="O26" s="54"/>
      <c r="P26" s="55"/>
      <c r="Q26" s="76"/>
      <c r="R26" s="76"/>
      <c r="S26" s="76"/>
      <c r="T26" s="76"/>
      <c r="U26" s="76"/>
      <c r="V26" s="76"/>
      <c r="W26" s="76"/>
      <c r="X26" s="76"/>
      <c r="Y26" s="55"/>
      <c r="Z26" s="55"/>
      <c r="AA26" s="55"/>
      <c r="AB26" s="54"/>
      <c r="AC26" s="54"/>
      <c r="AD26" s="55"/>
      <c r="AE26" s="55"/>
      <c r="AF26" s="55"/>
      <c r="AG26" s="55"/>
      <c r="AH26" s="55"/>
      <c r="AI26" s="54"/>
      <c r="AJ26" s="54"/>
    </row>
    <row r="27" ht="18.75" customHeight="1" outlineLevel="1">
      <c r="A27" s="45"/>
      <c r="B27" s="46" t="s">
        <v>59</v>
      </c>
      <c r="C27" s="77" t="s">
        <v>60</v>
      </c>
      <c r="D27" s="48" t="s">
        <v>36</v>
      </c>
      <c r="E27" s="49">
        <v>46098.0</v>
      </c>
      <c r="F27" s="49">
        <v>46105.0</v>
      </c>
      <c r="G27" s="48">
        <f t="shared" si="3"/>
        <v>7</v>
      </c>
      <c r="H27" s="50">
        <v>1.0</v>
      </c>
      <c r="I27" s="61"/>
      <c r="J27" s="62"/>
      <c r="K27" s="63"/>
      <c r="L27" s="63"/>
      <c r="M27" s="63"/>
      <c r="N27" s="54"/>
      <c r="O27" s="54"/>
      <c r="P27" s="55"/>
      <c r="Q27" s="76"/>
      <c r="R27" s="76"/>
      <c r="S27" s="76"/>
      <c r="T27" s="76"/>
      <c r="U27" s="76"/>
      <c r="V27" s="76"/>
      <c r="W27" s="76"/>
      <c r="X27" s="76"/>
      <c r="Y27" s="55"/>
      <c r="Z27" s="55"/>
      <c r="AA27" s="55"/>
      <c r="AB27" s="54"/>
      <c r="AC27" s="54"/>
      <c r="AD27" s="55"/>
      <c r="AE27" s="55"/>
      <c r="AF27" s="55"/>
      <c r="AG27" s="55"/>
      <c r="AH27" s="55"/>
      <c r="AI27" s="54"/>
      <c r="AJ27" s="60"/>
    </row>
    <row r="28" ht="18.75" customHeight="1" outlineLevel="1">
      <c r="A28" s="45"/>
      <c r="B28" s="46" t="s">
        <v>61</v>
      </c>
      <c r="C28" s="77" t="s">
        <v>62</v>
      </c>
      <c r="D28" s="48" t="s">
        <v>36</v>
      </c>
      <c r="E28" s="49">
        <v>46098.0</v>
      </c>
      <c r="F28" s="49">
        <v>46105.0</v>
      </c>
      <c r="G28" s="48">
        <f t="shared" si="3"/>
        <v>7</v>
      </c>
      <c r="H28" s="50">
        <v>1.0</v>
      </c>
      <c r="I28" s="59"/>
      <c r="J28" s="52"/>
      <c r="K28" s="72"/>
      <c r="L28" s="72"/>
      <c r="M28" s="53"/>
      <c r="N28" s="54"/>
      <c r="O28" s="54"/>
      <c r="P28" s="55"/>
      <c r="Q28" s="76"/>
      <c r="R28" s="76"/>
      <c r="S28" s="76"/>
      <c r="T28" s="76"/>
      <c r="U28" s="76"/>
      <c r="V28" s="76"/>
      <c r="W28" s="76"/>
      <c r="X28" s="76"/>
      <c r="Y28" s="53"/>
      <c r="Z28" s="53"/>
      <c r="AA28" s="53"/>
      <c r="AB28" s="60"/>
      <c r="AC28" s="60"/>
      <c r="AD28" s="53"/>
      <c r="AE28" s="53"/>
      <c r="AF28" s="53"/>
      <c r="AG28" s="53"/>
      <c r="AH28" s="53"/>
      <c r="AI28" s="54"/>
      <c r="AJ28" s="60"/>
    </row>
    <row r="29" ht="18.75" customHeight="1" outlineLevel="1">
      <c r="A29" s="45"/>
      <c r="B29" s="46" t="s">
        <v>63</v>
      </c>
      <c r="C29" s="77" t="s">
        <v>64</v>
      </c>
      <c r="D29" s="48" t="s">
        <v>65</v>
      </c>
      <c r="E29" s="49">
        <v>46098.0</v>
      </c>
      <c r="F29" s="49">
        <v>46105.0</v>
      </c>
      <c r="G29" s="48">
        <f t="shared" si="3"/>
        <v>7</v>
      </c>
      <c r="H29" s="50">
        <v>1.0</v>
      </c>
      <c r="I29" s="59"/>
      <c r="J29" s="52"/>
      <c r="K29" s="72"/>
      <c r="L29" s="72"/>
      <c r="M29" s="53"/>
      <c r="N29" s="54"/>
      <c r="O29" s="54"/>
      <c r="P29" s="55"/>
      <c r="Q29" s="76"/>
      <c r="R29" s="76"/>
      <c r="S29" s="76"/>
      <c r="T29" s="76"/>
      <c r="U29" s="76"/>
      <c r="V29" s="76"/>
      <c r="W29" s="76"/>
      <c r="X29" s="76"/>
      <c r="Y29" s="53"/>
      <c r="Z29" s="53"/>
      <c r="AA29" s="53"/>
      <c r="AB29" s="60"/>
      <c r="AC29" s="60"/>
      <c r="AD29" s="53"/>
      <c r="AE29" s="53"/>
      <c r="AF29" s="53"/>
      <c r="AG29" s="53"/>
      <c r="AH29" s="53"/>
      <c r="AI29" s="54"/>
      <c r="AJ29" s="60"/>
    </row>
    <row r="30" ht="18.75" customHeight="1" outlineLevel="1">
      <c r="A30" s="45"/>
      <c r="B30" s="46" t="s">
        <v>66</v>
      </c>
      <c r="C30" s="77" t="s">
        <v>67</v>
      </c>
      <c r="D30" s="48" t="s">
        <v>31</v>
      </c>
      <c r="E30" s="49">
        <v>46101.0</v>
      </c>
      <c r="F30" s="49">
        <v>46105.0</v>
      </c>
      <c r="G30" s="48">
        <f t="shared" si="3"/>
        <v>4</v>
      </c>
      <c r="H30" s="50">
        <v>1.0</v>
      </c>
      <c r="I30" s="59"/>
      <c r="J30" s="52"/>
      <c r="K30" s="72"/>
      <c r="L30" s="72"/>
      <c r="M30" s="53"/>
      <c r="N30" s="54"/>
      <c r="O30" s="54"/>
      <c r="P30" s="55"/>
      <c r="Q30" s="55"/>
      <c r="R30" s="55"/>
      <c r="S30" s="53"/>
      <c r="T30" s="76"/>
      <c r="U30" s="76"/>
      <c r="V30" s="76"/>
      <c r="W30" s="76"/>
      <c r="X30" s="76"/>
      <c r="Y30" s="53"/>
      <c r="Z30" s="53"/>
      <c r="AA30" s="53"/>
      <c r="AB30" s="60"/>
      <c r="AC30" s="60"/>
      <c r="AD30" s="53"/>
      <c r="AE30" s="53"/>
      <c r="AF30" s="53"/>
      <c r="AG30" s="53"/>
      <c r="AH30" s="53"/>
      <c r="AI30" s="54"/>
      <c r="AJ30" s="60"/>
    </row>
    <row r="31" ht="18.75" customHeight="1" outlineLevel="1">
      <c r="A31" s="45"/>
      <c r="B31" s="46" t="s">
        <v>68</v>
      </c>
      <c r="C31" s="47" t="s">
        <v>69</v>
      </c>
      <c r="D31" s="48" t="s">
        <v>65</v>
      </c>
      <c r="E31" s="48" t="s">
        <v>70</v>
      </c>
      <c r="F31" s="48" t="s">
        <v>70</v>
      </c>
      <c r="G31" s="48" t="s">
        <v>70</v>
      </c>
      <c r="H31" s="50">
        <v>0.0</v>
      </c>
      <c r="I31" s="59"/>
      <c r="J31" s="52"/>
      <c r="K31" s="72"/>
      <c r="L31" s="72"/>
      <c r="M31" s="53"/>
      <c r="N31" s="54"/>
      <c r="O31" s="54"/>
      <c r="P31" s="55"/>
      <c r="Q31" s="55"/>
      <c r="R31" s="55"/>
      <c r="S31" s="53"/>
      <c r="T31" s="63"/>
      <c r="U31" s="54"/>
      <c r="V31" s="54"/>
      <c r="W31" s="53"/>
      <c r="X31" s="53"/>
      <c r="Y31" s="53"/>
      <c r="Z31" s="53"/>
      <c r="AA31" s="53"/>
      <c r="AB31" s="60"/>
      <c r="AC31" s="60"/>
      <c r="AD31" s="53"/>
      <c r="AE31" s="53"/>
      <c r="AF31" s="53"/>
      <c r="AG31" s="53"/>
      <c r="AH31" s="53"/>
      <c r="AI31" s="54"/>
      <c r="AJ31" s="60"/>
    </row>
    <row r="32" ht="18.75" customHeight="1" outlineLevel="1">
      <c r="A32" s="45"/>
      <c r="B32" s="46" t="s">
        <v>71</v>
      </c>
      <c r="C32" s="77" t="s">
        <v>72</v>
      </c>
      <c r="D32" s="48" t="s">
        <v>65</v>
      </c>
      <c r="E32" s="48" t="s">
        <v>70</v>
      </c>
      <c r="F32" s="48" t="s">
        <v>70</v>
      </c>
      <c r="G32" s="48" t="s">
        <v>70</v>
      </c>
      <c r="H32" s="50">
        <v>0.0</v>
      </c>
      <c r="I32" s="59"/>
      <c r="J32" s="52"/>
      <c r="K32" s="53"/>
      <c r="L32" s="53"/>
      <c r="M32" s="53"/>
      <c r="N32" s="54"/>
      <c r="O32" s="54"/>
      <c r="P32" s="55"/>
      <c r="Q32" s="55"/>
      <c r="R32" s="55"/>
      <c r="S32" s="53"/>
      <c r="T32" s="63"/>
      <c r="U32" s="54"/>
      <c r="V32" s="54"/>
      <c r="W32" s="53"/>
      <c r="X32" s="53"/>
      <c r="Y32" s="53"/>
      <c r="Z32" s="53"/>
      <c r="AA32" s="53"/>
      <c r="AB32" s="60"/>
      <c r="AC32" s="60"/>
      <c r="AD32" s="53"/>
      <c r="AE32" s="53"/>
      <c r="AF32" s="53"/>
      <c r="AG32" s="53"/>
      <c r="AH32" s="53"/>
      <c r="AI32" s="54"/>
      <c r="AJ32" s="54"/>
    </row>
    <row r="33" ht="18.75" customHeight="1" outlineLevel="1">
      <c r="A33" s="45"/>
      <c r="B33" s="46" t="s">
        <v>73</v>
      </c>
      <c r="C33" s="77" t="s">
        <v>74</v>
      </c>
      <c r="D33" s="48" t="s">
        <v>65</v>
      </c>
      <c r="E33" s="48" t="s">
        <v>70</v>
      </c>
      <c r="F33" s="48" t="s">
        <v>70</v>
      </c>
      <c r="G33" s="48" t="s">
        <v>70</v>
      </c>
      <c r="H33" s="50">
        <v>0.0</v>
      </c>
      <c r="I33" s="59"/>
      <c r="J33" s="52"/>
      <c r="K33" s="72"/>
      <c r="L33" s="72"/>
      <c r="M33" s="53"/>
      <c r="N33" s="54"/>
      <c r="O33" s="54"/>
      <c r="P33" s="55"/>
      <c r="Q33" s="55"/>
      <c r="R33" s="55"/>
      <c r="S33" s="53"/>
      <c r="T33" s="63"/>
      <c r="U33" s="54"/>
      <c r="V33" s="54"/>
      <c r="W33" s="53"/>
      <c r="X33" s="53"/>
      <c r="Y33" s="53"/>
      <c r="Z33" s="53"/>
      <c r="AA33" s="53"/>
      <c r="AB33" s="60"/>
      <c r="AC33" s="60"/>
      <c r="AD33" s="53"/>
      <c r="AE33" s="53"/>
      <c r="AF33" s="53"/>
      <c r="AG33" s="53"/>
      <c r="AH33" s="53"/>
      <c r="AI33" s="54"/>
      <c r="AJ33" s="54"/>
    </row>
    <row r="34" ht="18.75" customHeight="1" outlineLevel="1">
      <c r="A34" s="45"/>
      <c r="B34" s="46" t="s">
        <v>75</v>
      </c>
      <c r="C34" s="77" t="s">
        <v>76</v>
      </c>
      <c r="D34" s="48" t="s">
        <v>65</v>
      </c>
      <c r="E34" s="48" t="s">
        <v>70</v>
      </c>
      <c r="F34" s="48" t="s">
        <v>70</v>
      </c>
      <c r="G34" s="48" t="s">
        <v>70</v>
      </c>
      <c r="H34" s="50">
        <v>0.0</v>
      </c>
      <c r="I34" s="59"/>
      <c r="J34" s="52"/>
      <c r="K34" s="53"/>
      <c r="L34" s="53"/>
      <c r="M34" s="53"/>
      <c r="N34" s="54"/>
      <c r="O34" s="54"/>
      <c r="P34" s="55"/>
      <c r="Q34" s="55"/>
      <c r="R34" s="55"/>
      <c r="S34" s="53"/>
      <c r="T34" s="63"/>
      <c r="U34" s="54"/>
      <c r="V34" s="54"/>
      <c r="W34" s="53"/>
      <c r="X34" s="53"/>
      <c r="Y34" s="53"/>
      <c r="Z34" s="53"/>
      <c r="AA34" s="53"/>
      <c r="AB34" s="60"/>
      <c r="AC34" s="60"/>
      <c r="AD34" s="53"/>
      <c r="AE34" s="53"/>
      <c r="AF34" s="53"/>
      <c r="AG34" s="53"/>
      <c r="AH34" s="53"/>
      <c r="AI34" s="54"/>
      <c r="AJ34" s="54"/>
    </row>
    <row r="35" ht="21.0" customHeight="1">
      <c r="A35" s="27"/>
      <c r="B35" s="38">
        <v>4.0</v>
      </c>
      <c r="C35" s="39" t="s">
        <v>77</v>
      </c>
      <c r="D35" s="40"/>
      <c r="E35" s="40"/>
      <c r="F35" s="40"/>
      <c r="G35" s="40"/>
      <c r="H35" s="40"/>
      <c r="I35" s="41"/>
      <c r="J35" s="42"/>
      <c r="K35" s="43"/>
      <c r="L35" s="43"/>
      <c r="M35" s="44"/>
      <c r="N35" s="41"/>
      <c r="O35" s="44"/>
      <c r="P35" s="41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6" ht="18.75" customHeight="1" outlineLevel="1">
      <c r="A36" s="45"/>
      <c r="B36" s="75">
        <v>43104.0</v>
      </c>
      <c r="C36" s="47" t="s">
        <v>78</v>
      </c>
      <c r="D36" s="48" t="s">
        <v>31</v>
      </c>
      <c r="E36" s="48" t="s">
        <v>70</v>
      </c>
      <c r="F36" s="48" t="s">
        <v>70</v>
      </c>
      <c r="G36" s="48" t="s">
        <v>70</v>
      </c>
      <c r="H36" s="50">
        <v>0.0</v>
      </c>
      <c r="I36" s="61"/>
      <c r="J36" s="62"/>
      <c r="K36" s="63"/>
      <c r="L36" s="63"/>
      <c r="M36" s="63"/>
      <c r="N36" s="54"/>
      <c r="O36" s="54"/>
      <c r="P36" s="55"/>
      <c r="Q36" s="55"/>
      <c r="R36" s="55"/>
      <c r="S36" s="55"/>
      <c r="T36" s="55"/>
      <c r="U36" s="54"/>
      <c r="V36" s="54"/>
      <c r="W36" s="55"/>
      <c r="X36" s="55"/>
      <c r="Y36" s="55"/>
      <c r="Z36" s="55"/>
      <c r="AA36" s="55"/>
      <c r="AB36" s="54"/>
      <c r="AC36" s="54"/>
      <c r="AD36" s="55"/>
      <c r="AE36" s="55"/>
      <c r="AF36" s="55"/>
      <c r="AG36" s="55"/>
      <c r="AH36" s="55"/>
      <c r="AI36" s="54"/>
      <c r="AJ36" s="54"/>
    </row>
    <row r="37" ht="18.75" customHeight="1" outlineLevel="1">
      <c r="A37" s="45"/>
      <c r="B37" s="75">
        <v>43135.0</v>
      </c>
      <c r="C37" s="47" t="s">
        <v>79</v>
      </c>
      <c r="D37" s="48" t="s">
        <v>31</v>
      </c>
      <c r="E37" s="48" t="s">
        <v>70</v>
      </c>
      <c r="F37" s="48" t="s">
        <v>70</v>
      </c>
      <c r="G37" s="48" t="s">
        <v>70</v>
      </c>
      <c r="H37" s="50">
        <v>0.0</v>
      </c>
      <c r="I37" s="59"/>
      <c r="J37" s="52"/>
      <c r="K37" s="72"/>
      <c r="L37" s="72"/>
      <c r="M37" s="53"/>
      <c r="N37" s="54"/>
      <c r="O37" s="54"/>
      <c r="P37" s="53"/>
      <c r="Q37" s="53"/>
      <c r="R37" s="53"/>
      <c r="S37" s="53"/>
      <c r="T37" s="53"/>
      <c r="U37" s="54"/>
      <c r="V37" s="54"/>
      <c r="W37" s="53"/>
      <c r="X37" s="53"/>
      <c r="Y37" s="53"/>
      <c r="Z37" s="53"/>
      <c r="AA37" s="53"/>
      <c r="AB37" s="54"/>
      <c r="AC37" s="54"/>
      <c r="AD37" s="53"/>
      <c r="AE37" s="53"/>
      <c r="AF37" s="53"/>
      <c r="AG37" s="53"/>
      <c r="AH37" s="53"/>
      <c r="AI37" s="54"/>
      <c r="AJ37" s="54"/>
    </row>
    <row r="38" ht="18.75" customHeight="1" outlineLevel="1">
      <c r="A38" s="45"/>
      <c r="B38" s="75">
        <v>43163.0</v>
      </c>
      <c r="C38" s="47" t="s">
        <v>80</v>
      </c>
      <c r="D38" s="48" t="s">
        <v>31</v>
      </c>
      <c r="E38" s="48" t="s">
        <v>70</v>
      </c>
      <c r="F38" s="48" t="s">
        <v>70</v>
      </c>
      <c r="G38" s="48" t="s">
        <v>70</v>
      </c>
      <c r="H38" s="50">
        <v>0.0</v>
      </c>
      <c r="I38" s="59"/>
      <c r="J38" s="52"/>
      <c r="K38" s="72"/>
      <c r="L38" s="72"/>
      <c r="M38" s="53"/>
      <c r="N38" s="54"/>
      <c r="O38" s="54"/>
      <c r="P38" s="63"/>
      <c r="Q38" s="63"/>
      <c r="R38" s="63"/>
      <c r="S38" s="63"/>
      <c r="T38" s="63"/>
      <c r="U38" s="54"/>
      <c r="V38" s="54"/>
      <c r="W38" s="53"/>
      <c r="X38" s="53"/>
      <c r="Y38" s="53"/>
      <c r="Z38" s="53"/>
      <c r="AA38" s="53"/>
      <c r="AB38" s="54"/>
      <c r="AC38" s="54"/>
      <c r="AD38" s="53"/>
      <c r="AE38" s="53"/>
      <c r="AF38" s="53"/>
      <c r="AG38" s="53"/>
      <c r="AH38" s="53"/>
      <c r="AI38" s="54"/>
      <c r="AJ38" s="54"/>
    </row>
    <row r="39" ht="18.75" customHeight="1" outlineLevel="1">
      <c r="A39" s="45"/>
      <c r="B39" s="75">
        <v>43194.0</v>
      </c>
      <c r="C39" s="47" t="s">
        <v>81</v>
      </c>
      <c r="D39" s="48" t="s">
        <v>31</v>
      </c>
      <c r="E39" s="49">
        <v>46112.0</v>
      </c>
      <c r="F39" s="49">
        <v>46112.0</v>
      </c>
      <c r="G39" s="48">
        <v>0.0</v>
      </c>
      <c r="H39" s="78">
        <v>1.0</v>
      </c>
      <c r="I39" s="59"/>
      <c r="J39" s="52"/>
      <c r="K39" s="72"/>
      <c r="L39" s="72"/>
      <c r="M39" s="53"/>
      <c r="N39" s="54"/>
      <c r="O39" s="54"/>
      <c r="P39" s="63"/>
      <c r="Q39" s="63"/>
      <c r="R39" s="63"/>
      <c r="S39" s="63"/>
      <c r="T39" s="63"/>
      <c r="U39" s="54"/>
      <c r="V39" s="54"/>
      <c r="W39" s="53"/>
      <c r="X39" s="53"/>
      <c r="Y39" s="53"/>
      <c r="Z39" s="53"/>
      <c r="AA39" s="53"/>
      <c r="AB39" s="54"/>
      <c r="AC39" s="54"/>
      <c r="AD39" s="53"/>
      <c r="AE39" s="79"/>
      <c r="AF39" s="53"/>
      <c r="AG39" s="53"/>
      <c r="AH39" s="53"/>
      <c r="AI39" s="54"/>
      <c r="AJ39" s="54"/>
    </row>
    <row r="40" ht="21.0" customHeight="1">
      <c r="A40" s="27"/>
      <c r="B40" s="38">
        <v>5.0</v>
      </c>
      <c r="C40" s="39" t="s">
        <v>82</v>
      </c>
      <c r="D40" s="40"/>
      <c r="E40" s="40"/>
      <c r="F40" s="40"/>
      <c r="G40" s="40"/>
      <c r="H40" s="40"/>
      <c r="I40" s="41"/>
      <c r="J40" s="42"/>
      <c r="K40" s="43"/>
      <c r="L40" s="43"/>
      <c r="M40" s="44"/>
      <c r="N40" s="41"/>
      <c r="O40" s="44"/>
      <c r="P40" s="41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ht="18.75" customHeight="1">
      <c r="A41" s="27"/>
      <c r="B41" s="75">
        <v>46027.0</v>
      </c>
      <c r="C41" s="47" t="s">
        <v>83</v>
      </c>
      <c r="D41" s="48" t="s">
        <v>41</v>
      </c>
      <c r="E41" s="49">
        <v>46112.0</v>
      </c>
      <c r="F41" s="49">
        <v>46119.0</v>
      </c>
      <c r="G41" s="48">
        <f t="shared" ref="G41:G44" si="4">DAYS360(E41,F41)</f>
        <v>7</v>
      </c>
      <c r="H41" s="80">
        <v>0.15</v>
      </c>
      <c r="I41" s="61"/>
      <c r="J41" s="62"/>
      <c r="K41" s="63"/>
      <c r="L41" s="63"/>
      <c r="M41" s="63"/>
      <c r="N41" s="54"/>
      <c r="O41" s="54"/>
      <c r="P41" s="55"/>
      <c r="Q41" s="55"/>
      <c r="R41" s="55"/>
      <c r="S41" s="55"/>
      <c r="T41" s="55"/>
      <c r="U41" s="54"/>
      <c r="V41" s="54"/>
      <c r="W41" s="55"/>
      <c r="X41" s="55"/>
      <c r="Y41" s="55"/>
      <c r="Z41" s="55"/>
      <c r="AA41" s="55"/>
      <c r="AB41" s="54"/>
      <c r="AC41" s="54"/>
      <c r="AD41" s="55"/>
      <c r="AE41" s="55"/>
      <c r="AF41" s="55"/>
      <c r="AG41" s="55"/>
      <c r="AH41" s="55"/>
      <c r="AI41" s="54"/>
      <c r="AJ41" s="54"/>
    </row>
    <row r="42" ht="18.75" customHeight="1">
      <c r="A42" s="27"/>
      <c r="B42" s="75">
        <v>46058.0</v>
      </c>
      <c r="C42" s="47" t="s">
        <v>84</v>
      </c>
      <c r="D42" s="48" t="s">
        <v>41</v>
      </c>
      <c r="E42" s="49">
        <v>46108.0</v>
      </c>
      <c r="F42" s="49">
        <v>46112.0</v>
      </c>
      <c r="G42" s="48">
        <f t="shared" si="4"/>
        <v>4</v>
      </c>
      <c r="H42" s="80">
        <v>1.0</v>
      </c>
      <c r="I42" s="59"/>
      <c r="J42" s="52"/>
      <c r="K42" s="72"/>
      <c r="L42" s="72"/>
      <c r="M42" s="53"/>
      <c r="N42" s="54"/>
      <c r="O42" s="54"/>
      <c r="P42" s="53"/>
      <c r="Q42" s="53"/>
      <c r="R42" s="53"/>
      <c r="S42" s="53"/>
      <c r="T42" s="53"/>
      <c r="U42" s="54"/>
      <c r="V42" s="54"/>
      <c r="W42" s="53"/>
      <c r="X42" s="53"/>
      <c r="Y42" s="53"/>
      <c r="Z42" s="53"/>
      <c r="AA42" s="81"/>
      <c r="AB42" s="81"/>
      <c r="AC42" s="81"/>
      <c r="AD42" s="81"/>
      <c r="AE42" s="81"/>
      <c r="AF42" s="53"/>
      <c r="AG42" s="53"/>
      <c r="AH42" s="53"/>
      <c r="AI42" s="54"/>
      <c r="AJ42" s="54"/>
    </row>
    <row r="43" ht="18.75" customHeight="1">
      <c r="A43" s="27"/>
      <c r="B43" s="46" t="s">
        <v>85</v>
      </c>
      <c r="C43" s="47" t="s">
        <v>86</v>
      </c>
      <c r="D43" s="48" t="s">
        <v>31</v>
      </c>
      <c r="E43" s="49">
        <v>46112.0</v>
      </c>
      <c r="F43" s="49">
        <v>46119.0</v>
      </c>
      <c r="G43" s="48">
        <f t="shared" si="4"/>
        <v>7</v>
      </c>
      <c r="H43" s="80">
        <v>0.0</v>
      </c>
      <c r="I43" s="59"/>
      <c r="J43" s="52"/>
      <c r="K43" s="72"/>
      <c r="L43" s="72"/>
      <c r="M43" s="53"/>
      <c r="N43" s="54"/>
      <c r="O43" s="54"/>
      <c r="P43" s="63"/>
      <c r="Q43" s="63"/>
      <c r="R43" s="63"/>
      <c r="S43" s="63"/>
      <c r="T43" s="63"/>
      <c r="U43" s="54"/>
      <c r="V43" s="54"/>
      <c r="W43" s="53"/>
      <c r="X43" s="53"/>
      <c r="Y43" s="53"/>
      <c r="Z43" s="53"/>
      <c r="AA43" s="53"/>
      <c r="AB43" s="54"/>
      <c r="AC43" s="54"/>
      <c r="AD43" s="53"/>
      <c r="AE43" s="53"/>
      <c r="AF43" s="53"/>
      <c r="AG43" s="53"/>
      <c r="AH43" s="53"/>
      <c r="AI43" s="54"/>
      <c r="AJ43" s="54"/>
    </row>
    <row r="44" ht="18.75" customHeight="1">
      <c r="A44" s="27"/>
      <c r="B44" s="46" t="s">
        <v>87</v>
      </c>
      <c r="C44" s="47" t="s">
        <v>88</v>
      </c>
      <c r="D44" s="48" t="s">
        <v>31</v>
      </c>
      <c r="E44" s="49">
        <v>46119.0</v>
      </c>
      <c r="F44" s="49">
        <v>46119.0</v>
      </c>
      <c r="G44" s="48">
        <f t="shared" si="4"/>
        <v>0</v>
      </c>
      <c r="H44" s="82">
        <v>0.0</v>
      </c>
      <c r="I44" s="59"/>
      <c r="J44" s="52"/>
      <c r="K44" s="72"/>
      <c r="L44" s="72"/>
      <c r="M44" s="53"/>
      <c r="N44" s="54"/>
      <c r="O44" s="54"/>
      <c r="P44" s="63"/>
      <c r="Q44" s="63"/>
      <c r="R44" s="63"/>
      <c r="S44" s="63"/>
      <c r="T44" s="63"/>
      <c r="U44" s="54"/>
      <c r="V44" s="54"/>
      <c r="W44" s="53"/>
      <c r="X44" s="53"/>
      <c r="Y44" s="53"/>
      <c r="Z44" s="53"/>
      <c r="AA44" s="53"/>
      <c r="AB44" s="54"/>
      <c r="AC44" s="54"/>
      <c r="AD44" s="53"/>
      <c r="AE44" s="53"/>
      <c r="AF44" s="53"/>
      <c r="AG44" s="53"/>
      <c r="AH44" s="53"/>
      <c r="AI44" s="54"/>
      <c r="AJ44" s="54"/>
    </row>
  </sheetData>
  <mergeCells count="22">
    <mergeCell ref="B2:H2"/>
    <mergeCell ref="I2:N2"/>
    <mergeCell ref="O2:AJ2"/>
    <mergeCell ref="B4:C4"/>
    <mergeCell ref="D4:G4"/>
    <mergeCell ref="I4:O4"/>
    <mergeCell ref="P4:AB4"/>
    <mergeCell ref="E8:E10"/>
    <mergeCell ref="F8:F10"/>
    <mergeCell ref="G8:G10"/>
    <mergeCell ref="H8:H10"/>
    <mergeCell ref="I9:O9"/>
    <mergeCell ref="P9:V9"/>
    <mergeCell ref="W9:AC9"/>
    <mergeCell ref="AD9:AJ9"/>
    <mergeCell ref="B5:C5"/>
    <mergeCell ref="D5:G5"/>
    <mergeCell ref="I5:O5"/>
    <mergeCell ref="P5:AA5"/>
    <mergeCell ref="B8:B10"/>
    <mergeCell ref="C8:C10"/>
    <mergeCell ref="D8:D10"/>
  </mergeCells>
  <conditionalFormatting sqref="H12:H17 H19:H44">
    <cfRule type="colorScale" priority="1">
      <colorScale>
        <cfvo type="min"/>
        <cfvo type="percent" val="50"/>
        <cfvo type="max"/>
        <color rgb="FFE06666"/>
        <color rgb="FFFFD966"/>
        <color rgb="FFB6D7A8"/>
      </colorScale>
    </cfRule>
  </conditionalFormatting>
  <conditionalFormatting sqref="H12:H17 H19:H44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D12:D17 D19:D24 D26:D34 D36:D39 D41:D44">
      <formula1>"Emiliano Litter,Moises Martinez,Thiago Peretti,Justin Sanabria"</formula1>
    </dataValidation>
  </dataValidations>
  <printOptions gridLines="1" horizontalCentered="1" verticalCentered="1"/>
  <pageMargins bottom="0.75" footer="0.0" header="0.0" left="0.7" right="0.7" top="0.75"/>
  <pageSetup paperSize="9" cellComments="atEnd" orientation="portrait" pageOrder="overThenDown"/>
  <drawing r:id="rId1"/>
</worksheet>
</file>